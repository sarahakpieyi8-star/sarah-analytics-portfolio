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08BD5C4C-16B9-4A05-AF24-2B13AB39A7D9}" xr6:coauthVersionLast="47" xr6:coauthVersionMax="47" xr10:uidLastSave="{00000000-0000-0000-0000-000000000000}"/>
  <bookViews>
    <workbookView xWindow="-120" yWindow="-120" windowWidth="20730" windowHeight="11040" activeTab="3" xr2:uid="{00000000-000D-0000-FFFF-FFFF00000000}"/>
  </bookViews>
  <sheets>
    <sheet name="Raw Dataset" sheetId="5" r:id="rId1"/>
    <sheet name="Cleaned Data set" sheetId="10" r:id="rId2"/>
    <sheet name="Pivort Chart" sheetId="15" r:id="rId3"/>
    <sheet name="Dahboard pr1" sheetId="16" r:id="rId4"/>
  </sheets>
  <definedNames>
    <definedName name="_xlcn.WorksheetConnection_PivotChartDashboard.xlsxTable31" hidden="1">Table3[]</definedName>
    <definedName name="Slicer_Product1">#N/A</definedName>
    <definedName name="Slicer_Region1">#N/A</definedName>
    <definedName name="Slicer_Salesperson1">#N/A</definedName>
  </definedNames>
  <calcPr calcId="191029"/>
  <pivotCaches>
    <pivotCache cacheId="671" r:id="rId5"/>
    <pivotCache cacheId="674" r:id="rId6"/>
    <pivotCache cacheId="677" r:id="rId7"/>
    <pivotCache cacheId="680" r:id="rId8"/>
    <pivotCache cacheId="683" r:id="rId9"/>
    <pivotCache cacheId="686" r:id="rId10"/>
    <pivotCache cacheId="689" r:id="rId11"/>
    <pivotCache cacheId="692" r:id="rId12"/>
  </pivotCaches>
  <extLst>
    <ext xmlns:x14="http://schemas.microsoft.com/office/spreadsheetml/2009/9/main" uri="{876F7934-8845-4945-9796-88D515C7AA90}">
      <x14:pivotCaches>
        <pivotCache cacheId="1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Pivot Chart &amp; Dashboard.xlsx!Table3"/>
        </x15:modelTables>
      </x15:dataModel>
    </ext>
  </extLst>
</workbook>
</file>

<file path=xl/calcChain.xml><?xml version="1.0" encoding="utf-8"?>
<calcChain xmlns="http://schemas.openxmlformats.org/spreadsheetml/2006/main">
  <c r="I21" i="15" l="1"/>
  <c r="K15" i="15"/>
  <c r="I15" i="15"/>
  <c r="J5" i="15"/>
  <c r="J4" i="15"/>
  <c r="J3" i="15"/>
  <c r="C2" i="10"/>
  <c r="C3" i="10"/>
  <c r="C4" i="10"/>
  <c r="C5" i="10"/>
  <c r="C6" i="10"/>
  <c r="C7" i="10"/>
  <c r="C8" i="10"/>
  <c r="C9" i="10"/>
  <c r="C10" i="10"/>
  <c r="C11" i="10"/>
  <c r="C12" i="10"/>
  <c r="C1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58497C-882B-48AA-AE76-C1463F10BDE6}" name="WorksheetConnection_Pivot Chart &amp; Dashboard.xlsx!Table3" type="102" refreshedVersion="8" minRefreshableVersion="5">
    <extLst>
      <ext xmlns:x15="http://schemas.microsoft.com/office/spreadsheetml/2010/11/main" uri="{DE250136-89BD-433C-8126-D09CA5730AF9}">
        <x15:connection id="Table3" autoDelete="1">
          <x15:rangePr sourceName="_xlcn.WorksheetConnection_PivotChartDashboard.xlsxTable31"/>
        </x15:connection>
      </ext>
    </extLst>
  </connection>
</connections>
</file>

<file path=xl/sharedStrings.xml><?xml version="1.0" encoding="utf-8"?>
<sst xmlns="http://schemas.openxmlformats.org/spreadsheetml/2006/main" count="164" uniqueCount="48">
  <si>
    <t>Region</t>
  </si>
  <si>
    <t>North</t>
  </si>
  <si>
    <t>South</t>
  </si>
  <si>
    <t>Total Revenue</t>
  </si>
  <si>
    <t>OrderID</t>
  </si>
  <si>
    <t>Date</t>
  </si>
  <si>
    <t>Salesperson</t>
  </si>
  <si>
    <t>Product</t>
  </si>
  <si>
    <t>Category</t>
  </si>
  <si>
    <t>Quantity</t>
  </si>
  <si>
    <t>Unit Price</t>
  </si>
  <si>
    <t>Revenue</t>
  </si>
  <si>
    <t>John</t>
  </si>
  <si>
    <t>Laptop</t>
  </si>
  <si>
    <t>Electronics</t>
  </si>
  <si>
    <t>West</t>
  </si>
  <si>
    <t>Mary</t>
  </si>
  <si>
    <t>Phone</t>
  </si>
  <si>
    <t>David</t>
  </si>
  <si>
    <t>Printer</t>
  </si>
  <si>
    <t>Office</t>
  </si>
  <si>
    <t>East</t>
  </si>
  <si>
    <t>Sarah</t>
  </si>
  <si>
    <t>Desk</t>
  </si>
  <si>
    <t>Furniture</t>
  </si>
  <si>
    <t>Chair</t>
  </si>
  <si>
    <t>Sum of Revenue</t>
  </si>
  <si>
    <t>Grand Total</t>
  </si>
  <si>
    <t>Regions</t>
  </si>
  <si>
    <t>Products</t>
  </si>
  <si>
    <t>Days</t>
  </si>
  <si>
    <t>Sum of Quantity</t>
  </si>
  <si>
    <t>Total Order</t>
  </si>
  <si>
    <t>Revenue By Region</t>
  </si>
  <si>
    <t>Revenue By Products</t>
  </si>
  <si>
    <t>Sales Generated By Sales Persons</t>
  </si>
  <si>
    <t>Sales Persons</t>
  </si>
  <si>
    <t>Sales By Category</t>
  </si>
  <si>
    <t xml:space="preserve">Total  Order </t>
  </si>
  <si>
    <t xml:space="preserve">Total QTY </t>
  </si>
  <si>
    <t>Revenue Trend BY Days</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</si>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</sst>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6" formatCode="&quot;$&quot;#,##0;[Red]&quot;$&quot;#,##0"/>
    <numFmt numFmtId="167" formatCode="&quot;$&quot;#,##0"/>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3" fillId="0" borderId="0" applyFont="0" applyFill="0" applyBorder="0" applyAlignment="0" applyProtection="0"/>
  </cellStyleXfs>
  <cellXfs count="2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0" fillId="0" borderId="0" xfId="0" pivotButton="1"/>
    <xf numFmtId="0" fontId="0" fillId="0" borderId="0" xfId="0" applyAlignment="1">
      <alignment horizontal="left"/>
    </xf>
    <xf numFmtId="0" fontId="2" fillId="0" borderId="0" xfId="0" applyFont="1"/>
    <xf numFmtId="0" fontId="0" fillId="2" borderId="0" xfId="0" applyFill="1"/>
    <xf numFmtId="1" fontId="0" fillId="0" borderId="0" xfId="0" applyNumberFormat="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5" xfId="0" applyBorder="1" applyAlignment="1">
      <alignment vertical="center" wrapText="1"/>
    </xf>
    <xf numFmtId="16" fontId="0" fillId="0" borderId="1" xfId="0" applyNumberFormat="1"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16" fontId="0" fillId="0" borderId="8" xfId="0" applyNumberFormat="1" applyBorder="1" applyAlignment="1">
      <alignment vertical="center" wrapText="1"/>
    </xf>
    <xf numFmtId="0" fontId="0" fillId="0" borderId="8" xfId="0" applyBorder="1" applyAlignment="1">
      <alignment vertical="center" wrapText="1"/>
    </xf>
    <xf numFmtId="166" fontId="1" fillId="0" borderId="3" xfId="1" applyNumberFormat="1" applyFont="1" applyBorder="1" applyAlignment="1">
      <alignment horizontal="center" vertical="center" wrapText="1"/>
    </xf>
    <xf numFmtId="166" fontId="0" fillId="0" borderId="1" xfId="0" applyNumberFormat="1" applyBorder="1" applyAlignment="1">
      <alignment vertical="center" wrapText="1"/>
    </xf>
    <xf numFmtId="166" fontId="0" fillId="0" borderId="8" xfId="0" applyNumberFormat="1" applyBorder="1" applyAlignment="1">
      <alignment vertical="center" wrapText="1"/>
    </xf>
    <xf numFmtId="166" fontId="0" fillId="0" borderId="0" xfId="0" applyNumberFormat="1"/>
    <xf numFmtId="166" fontId="1" fillId="0" borderId="4" xfId="0" applyNumberFormat="1" applyFont="1" applyBorder="1" applyAlignment="1">
      <alignment horizontal="center" vertical="center" wrapText="1"/>
    </xf>
    <xf numFmtId="166" fontId="0" fillId="0" borderId="6" xfId="0" applyNumberFormat="1" applyBorder="1" applyAlignment="1">
      <alignment vertical="center" wrapText="1"/>
    </xf>
    <xf numFmtId="166" fontId="0" fillId="0" borderId="9" xfId="0" applyNumberFormat="1" applyBorder="1" applyAlignment="1">
      <alignment vertical="center" wrapText="1"/>
    </xf>
    <xf numFmtId="166" fontId="1" fillId="3" borderId="0" xfId="0" applyNumberFormat="1" applyFont="1" applyFill="1"/>
    <xf numFmtId="0" fontId="1" fillId="2" borderId="0" xfId="0" applyFont="1" applyFill="1"/>
    <xf numFmtId="167" fontId="0" fillId="0" borderId="0" xfId="0" applyNumberFormat="1"/>
    <xf numFmtId="0" fontId="4" fillId="2" borderId="0" xfId="0" applyFont="1" applyFill="1"/>
  </cellXfs>
  <cellStyles count="2">
    <cellStyle name="Currency" xfId="1" builtinId="4"/>
    <cellStyle name="Normal" xfId="0" builtinId="0"/>
  </cellStyles>
  <dxfs count="149">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166" formatCode="&quot;$&quot;#,##0;[Red]&quot;$&quot;#,##0"/>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1" formatCode="d\-mmm"/>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1" formatCode="d\-mmm"/>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 formatCode="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66" formatCode="&quot;$&quot;#,##0;[Red]&quot;$&quot;#,##0"/>
    </dxf>
    <dxf>
      <numFmt numFmtId="1" formatCode="0"/>
    </dxf>
    <dxf>
      <numFmt numFmtId="166" formatCode="&quot;$&quot;#,##0;[Red]&quot;$&quot;#,##0"/>
    </dxf>
  </dxfs>
  <tableStyles count="0" defaultTableStyle="TableStyleMedium2" defaultPivotStyle="PivotStyleLight16"/>
  <colors>
    <mruColors>
      <color rgb="FF009900"/>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2025.xlsx]Pivort Chart!PivotTable6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Across  Regions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900"/>
          </a:solidFill>
          <a:ln>
            <a:noFill/>
          </a:ln>
          <a:effectLst/>
          <a:sp3d/>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5462668816039986E-17"/>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44444444444445E-2"/>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00"/>
          </a:solidFill>
          <a:ln>
            <a:noFill/>
          </a:ln>
          <a:effectLst/>
          <a:sp3d/>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9900"/>
          </a:solidFill>
          <a:ln>
            <a:noFill/>
          </a:ln>
          <a:effectLst/>
          <a:sp3d/>
        </c:spPr>
        <c:dLbl>
          <c:idx val="0"/>
          <c:layout>
            <c:manualLayout>
              <c:x val="-2.5462668816039986E-17"/>
              <c:y val="-3.703703703703703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9900"/>
          </a:solidFill>
          <a:ln>
            <a:noFill/>
          </a:ln>
          <a:effectLst/>
          <a:sp3d/>
        </c:spPr>
        <c:dLbl>
          <c:idx val="0"/>
          <c:layout>
            <c:manualLayout>
              <c:x val="1.9444444444444445E-2"/>
              <c:y val="-2.3148148148148147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900"/>
          </a:solidFill>
          <a:ln>
            <a:noFill/>
          </a:ln>
          <a:effectLst/>
          <a:sp3d/>
        </c:spPr>
        <c:dLbl>
          <c:idx val="0"/>
          <c:layout>
            <c:manualLayout>
              <c:x val="0"/>
              <c:y val="-3.240740740740740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9900"/>
          </a:solidFill>
          <a:ln>
            <a:noFill/>
          </a:ln>
          <a:effectLst/>
          <a:sp3d/>
        </c:spPr>
        <c:dLbl>
          <c:idx val="0"/>
          <c:layout>
            <c:manualLayout>
              <c:x val="0"/>
              <c:y val="-1.8518518518518517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9900"/>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9900"/>
          </a:solidFill>
          <a:ln>
            <a:noFill/>
          </a:ln>
          <a:effectLst/>
          <a:sp3d/>
        </c:spPr>
        <c:dLbl>
          <c:idx val="0"/>
          <c:layout>
            <c:manualLayout>
              <c:x val="-2.5462668816039986E-17"/>
              <c:y val="-3.703703703703703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9900"/>
          </a:solidFill>
          <a:ln>
            <a:noFill/>
          </a:ln>
          <a:effectLst/>
          <a:sp3d/>
        </c:spPr>
        <c:dLbl>
          <c:idx val="0"/>
          <c:layout>
            <c:manualLayout>
              <c:x val="1.9444444444444445E-2"/>
              <c:y val="-2.31481481481481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9900"/>
          </a:solidFill>
          <a:ln>
            <a:noFill/>
          </a:ln>
          <a:effectLst/>
          <a:sp3d/>
        </c:spPr>
        <c:dLbl>
          <c:idx val="0"/>
          <c:layout>
            <c:manualLayout>
              <c:x val="0"/>
              <c:y val="-3.24074074074074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9900"/>
          </a:solidFill>
          <a:ln>
            <a:noFill/>
          </a:ln>
          <a:effectLst/>
          <a:sp3d/>
        </c:spPr>
        <c:dLbl>
          <c:idx val="0"/>
          <c:layout>
            <c:manualLayout>
              <c:x val="0"/>
              <c:y val="-1.851851851851851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108003108003108E-2"/>
          <c:y val="0.2228104575163399"/>
          <c:w val="0.93162393162393164"/>
          <c:h val="0.60595903453244815"/>
        </c:manualLayout>
      </c:layout>
      <c:bar3DChart>
        <c:barDir val="col"/>
        <c:grouping val="clustered"/>
        <c:varyColors val="0"/>
        <c:ser>
          <c:idx val="0"/>
          <c:order val="0"/>
          <c:tx>
            <c:strRef>
              <c:f>'Pivort Chart'!$B$3</c:f>
              <c:strCache>
                <c:ptCount val="1"/>
                <c:pt idx="0">
                  <c:v>Total</c:v>
                </c:pt>
              </c:strCache>
            </c:strRef>
          </c:tx>
          <c:spPr>
            <a:solidFill>
              <a:srgbClr val="009900"/>
            </a:solidFill>
            <a:ln>
              <a:noFill/>
            </a:ln>
            <a:effectLst/>
            <a:sp3d/>
          </c:spPr>
          <c:invertIfNegative val="0"/>
          <c:dPt>
            <c:idx val="0"/>
            <c:invertIfNegative val="0"/>
            <c:bubble3D val="0"/>
            <c:extLst>
              <c:ext xmlns:c16="http://schemas.microsoft.com/office/drawing/2014/chart" uri="{C3380CC4-5D6E-409C-BE32-E72D297353CC}">
                <c16:uniqueId val="{00000000-E3BD-4421-B80B-0417BFC4A144}"/>
              </c:ext>
            </c:extLst>
          </c:dPt>
          <c:dPt>
            <c:idx val="1"/>
            <c:invertIfNegative val="0"/>
            <c:bubble3D val="0"/>
            <c:extLst>
              <c:ext xmlns:c16="http://schemas.microsoft.com/office/drawing/2014/chart" uri="{C3380CC4-5D6E-409C-BE32-E72D297353CC}">
                <c16:uniqueId val="{00000001-E3BD-4421-B80B-0417BFC4A144}"/>
              </c:ext>
            </c:extLst>
          </c:dPt>
          <c:dPt>
            <c:idx val="2"/>
            <c:invertIfNegative val="0"/>
            <c:bubble3D val="0"/>
            <c:extLst>
              <c:ext xmlns:c16="http://schemas.microsoft.com/office/drawing/2014/chart" uri="{C3380CC4-5D6E-409C-BE32-E72D297353CC}">
                <c16:uniqueId val="{00000002-E3BD-4421-B80B-0417BFC4A144}"/>
              </c:ext>
            </c:extLst>
          </c:dPt>
          <c:dPt>
            <c:idx val="3"/>
            <c:invertIfNegative val="0"/>
            <c:bubble3D val="0"/>
            <c:extLst>
              <c:ext xmlns:c16="http://schemas.microsoft.com/office/drawing/2014/chart" uri="{C3380CC4-5D6E-409C-BE32-E72D297353CC}">
                <c16:uniqueId val="{00000003-E3BD-4421-B80B-0417BFC4A144}"/>
              </c:ext>
            </c:extLst>
          </c:dPt>
          <c:dLbls>
            <c:dLbl>
              <c:idx val="0"/>
              <c:layout>
                <c:manualLayout>
                  <c:x val="-2.5462668816039986E-17"/>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BD-4421-B80B-0417BFC4A144}"/>
                </c:ext>
              </c:extLst>
            </c:dLbl>
            <c:dLbl>
              <c:idx val="1"/>
              <c:layout>
                <c:manualLayout>
                  <c:x val="1.9444444444444445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BD-4421-B80B-0417BFC4A144}"/>
                </c:ext>
              </c:extLst>
            </c:dLbl>
            <c:dLbl>
              <c:idx val="2"/>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BD-4421-B80B-0417BFC4A144}"/>
                </c:ext>
              </c:extLst>
            </c:dLbl>
            <c:dLbl>
              <c:idx val="3"/>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D-4421-B80B-0417BFC4A144}"/>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'Pivort Chart'!$A$4:$A$8</c:f>
              <c:strCache>
                <c:ptCount val="4"/>
                <c:pt idx="0">
                  <c:v>East</c:v>
                </c:pt>
                <c:pt idx="1">
                  <c:v>North</c:v>
                </c:pt>
                <c:pt idx="2">
                  <c:v>South</c:v>
                </c:pt>
                <c:pt idx="3">
                  <c:v>West</c:v>
                </c:pt>
              </c:strCache>
            </c:strRef>
          </c:cat>
          <c:val>
            <c:numRef>
              <c:f>'Pivort Chart'!$B$4:$B$8</c:f>
              <c:numCache>
                <c:formatCode>"$"#,##0;[Red]"$"#,##0</c:formatCode>
                <c:ptCount val="4"/>
                <c:pt idx="0">
                  <c:v>2400</c:v>
                </c:pt>
                <c:pt idx="1">
                  <c:v>2800</c:v>
                </c:pt>
                <c:pt idx="2">
                  <c:v>1540</c:v>
                </c:pt>
                <c:pt idx="3">
                  <c:v>2580</c:v>
                </c:pt>
              </c:numCache>
            </c:numRef>
          </c:val>
          <c:extLst>
            <c:ext xmlns:c16="http://schemas.microsoft.com/office/drawing/2014/chart" uri="{C3380CC4-5D6E-409C-BE32-E72D297353CC}">
              <c16:uniqueId val="{00000008-D13B-45B4-A583-31F97103AE6C}"/>
            </c:ext>
          </c:extLst>
        </c:ser>
        <c:dLbls>
          <c:showLegendKey val="0"/>
          <c:showVal val="1"/>
          <c:showCatName val="0"/>
          <c:showSerName val="0"/>
          <c:showPercent val="0"/>
          <c:showBubbleSize val="0"/>
        </c:dLbls>
        <c:gapWidth val="150"/>
        <c:shape val="box"/>
        <c:axId val="661698496"/>
        <c:axId val="661682176"/>
        <c:axId val="0"/>
      </c:bar3DChart>
      <c:catAx>
        <c:axId val="661698496"/>
        <c:scaling>
          <c:orientation val="minMax"/>
        </c:scaling>
        <c:delete val="0"/>
        <c:axPos val="b"/>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1682176"/>
        <c:crosses val="autoZero"/>
        <c:auto val="1"/>
        <c:lblAlgn val="ctr"/>
        <c:lblOffset val="100"/>
        <c:noMultiLvlLbl val="0"/>
      </c:catAx>
      <c:valAx>
        <c:axId val="661682176"/>
        <c:scaling>
          <c:orientation val="minMax"/>
        </c:scaling>
        <c:delete val="1"/>
        <c:axPos val="l"/>
        <c:numFmt formatCode="&quot;$&quot;#,##0;[Red]&quot;$&quot;#,##0" sourceLinked="1"/>
        <c:majorTickMark val="none"/>
        <c:minorTickMark val="none"/>
        <c:tickLblPos val="nextTo"/>
        <c:crossAx val="66169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2025.xlsx]Pivort Chart!PivotTable7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t> </a:t>
            </a:r>
            <a:r>
              <a:rPr lang="en-US" b="1" baseline="0">
                <a:solidFill>
                  <a:schemeClr val="bg1"/>
                </a:solidFill>
              </a:rPr>
              <a:t>From</a:t>
            </a:r>
            <a:r>
              <a:rPr lang="en-US" b="1" baseline="0"/>
              <a:t> </a:t>
            </a:r>
            <a:r>
              <a:rPr lang="en-US" b="1" baseline="0">
                <a:solidFill>
                  <a:schemeClr val="bg1"/>
                </a:solidFill>
              </a:rPr>
              <a:t>Products</a:t>
            </a:r>
            <a:endParaRPr lang="en-US" b="1">
              <a:solidFill>
                <a:schemeClr val="bg1"/>
              </a:solidFill>
            </a:endParaRPr>
          </a:p>
        </c:rich>
      </c:tx>
      <c:layout>
        <c:manualLayout>
          <c:xMode val="edge"/>
          <c:yMode val="edge"/>
          <c:x val="0.22683938079224372"/>
          <c:y val="3.7265450221689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00"/>
          </a:solidFill>
          <a:ln>
            <a:noFill/>
          </a:ln>
          <a:effectLst/>
        </c:spPr>
      </c:pivotFmt>
      <c:pivotFmt>
        <c:idx val="2"/>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Chart'!$B$13</c:f>
              <c:strCache>
                <c:ptCount val="1"/>
                <c:pt idx="0">
                  <c:v>Total</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Chart'!$A$14:$A$19</c:f>
              <c:strCache>
                <c:ptCount val="5"/>
                <c:pt idx="0">
                  <c:v>Chair</c:v>
                </c:pt>
                <c:pt idx="1">
                  <c:v>Desk</c:v>
                </c:pt>
                <c:pt idx="2">
                  <c:v>Laptop</c:v>
                </c:pt>
                <c:pt idx="3">
                  <c:v>Phone</c:v>
                </c:pt>
                <c:pt idx="4">
                  <c:v>Printer</c:v>
                </c:pt>
              </c:strCache>
            </c:strRef>
          </c:cat>
          <c:val>
            <c:numRef>
              <c:f>'Pivort Chart'!$B$14:$B$19</c:f>
              <c:numCache>
                <c:formatCode>"$"#,##0;[Red]"$"#,##0</c:formatCode>
                <c:ptCount val="5"/>
                <c:pt idx="0">
                  <c:v>720</c:v>
                </c:pt>
                <c:pt idx="1">
                  <c:v>1000</c:v>
                </c:pt>
                <c:pt idx="2">
                  <c:v>3200</c:v>
                </c:pt>
                <c:pt idx="3">
                  <c:v>3500</c:v>
                </c:pt>
                <c:pt idx="4">
                  <c:v>900</c:v>
                </c:pt>
              </c:numCache>
            </c:numRef>
          </c:val>
          <c:extLst>
            <c:ext xmlns:c16="http://schemas.microsoft.com/office/drawing/2014/chart" uri="{C3380CC4-5D6E-409C-BE32-E72D297353CC}">
              <c16:uniqueId val="{00000004-7B5F-4DE4-98D9-55CA2A2C57B3}"/>
            </c:ext>
          </c:extLst>
        </c:ser>
        <c:dLbls>
          <c:showLegendKey val="0"/>
          <c:showVal val="0"/>
          <c:showCatName val="0"/>
          <c:showSerName val="0"/>
          <c:showPercent val="0"/>
          <c:showBubbleSize val="0"/>
        </c:dLbls>
        <c:gapWidth val="182"/>
        <c:axId val="518980480"/>
        <c:axId val="518981920"/>
      </c:barChart>
      <c:catAx>
        <c:axId val="51898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8981920"/>
        <c:crosses val="autoZero"/>
        <c:auto val="1"/>
        <c:lblAlgn val="ctr"/>
        <c:lblOffset val="100"/>
        <c:noMultiLvlLbl val="0"/>
      </c:catAx>
      <c:valAx>
        <c:axId val="518981920"/>
        <c:scaling>
          <c:orientation val="minMax"/>
        </c:scaling>
        <c:delete val="1"/>
        <c:axPos val="b"/>
        <c:numFmt formatCode="&quot;$&quot;#,##0;[Red]&quot;$&quot;#,##0" sourceLinked="1"/>
        <c:majorTickMark val="none"/>
        <c:minorTickMark val="none"/>
        <c:tickLblPos val="nextTo"/>
        <c:crossAx val="51898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2025.xlsx]Pivort Chart!PivotTable8</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Returns By Salesperson</a:t>
            </a:r>
          </a:p>
        </c:rich>
      </c:tx>
      <c:layout>
        <c:manualLayout>
          <c:xMode val="edge"/>
          <c:yMode val="edge"/>
          <c:x val="0.19313156262239031"/>
          <c:y val="8.39688154073304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9900"/>
          </a:solidFill>
          <a:ln>
            <a:noFill/>
          </a:ln>
          <a:effectLst/>
          <a:sp3d/>
        </c:spPr>
        <c:dLbl>
          <c:idx val="0"/>
          <c:layout>
            <c:manualLayout>
              <c:x val="-6.6560505099690286E-17"/>
              <c:y val="-2.5339893771972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9900"/>
          </a:solidFill>
          <a:ln>
            <a:noFill/>
          </a:ln>
          <a:effectLst/>
          <a:sp3d/>
        </c:spPr>
        <c:dLbl>
          <c:idx val="0"/>
          <c:layout>
            <c:manualLayout>
              <c:x val="0"/>
              <c:y val="-3.16748672149660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900"/>
          </a:solidFill>
          <a:ln>
            <a:noFill/>
          </a:ln>
          <a:effectLst/>
          <a:sp3d/>
        </c:spPr>
        <c:dLbl>
          <c:idx val="0"/>
          <c:layout>
            <c:manualLayout>
              <c:x val="0"/>
              <c:y val="-3.800984065795937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'Pivort Chart'!$F$3</c:f>
              <c:strCache>
                <c:ptCount val="1"/>
                <c:pt idx="0">
                  <c:v>Total</c:v>
                </c:pt>
              </c:strCache>
            </c:strRef>
          </c:tx>
          <c:spPr>
            <a:solidFill>
              <a:srgbClr val="009900"/>
            </a:solidFill>
            <a:ln>
              <a:noFill/>
            </a:ln>
            <a:effectLst/>
            <a:sp3d/>
          </c:spPr>
          <c:invertIfNegative val="0"/>
          <c:dPt>
            <c:idx val="1"/>
            <c:invertIfNegative val="0"/>
            <c:bubble3D val="0"/>
            <c:extLst>
              <c:ext xmlns:c16="http://schemas.microsoft.com/office/drawing/2014/chart" uri="{C3380CC4-5D6E-409C-BE32-E72D297353CC}">
                <c16:uniqueId val="{00000000-0F13-45A7-BCCA-08EAD540FDE4}"/>
              </c:ext>
            </c:extLst>
          </c:dPt>
          <c:dPt>
            <c:idx val="2"/>
            <c:invertIfNegative val="0"/>
            <c:bubble3D val="0"/>
            <c:extLst>
              <c:ext xmlns:c16="http://schemas.microsoft.com/office/drawing/2014/chart" uri="{C3380CC4-5D6E-409C-BE32-E72D297353CC}">
                <c16:uniqueId val="{00000001-0F13-45A7-BCCA-08EAD540FDE4}"/>
              </c:ext>
            </c:extLst>
          </c:dPt>
          <c:dPt>
            <c:idx val="3"/>
            <c:invertIfNegative val="0"/>
            <c:bubble3D val="0"/>
            <c:extLst>
              <c:ext xmlns:c16="http://schemas.microsoft.com/office/drawing/2014/chart" uri="{C3380CC4-5D6E-409C-BE32-E72D297353CC}">
                <c16:uniqueId val="{00000002-0F13-45A7-BCCA-08EAD540FDE4}"/>
              </c:ext>
            </c:extLst>
          </c:dPt>
          <c:dLbls>
            <c:dLbl>
              <c:idx val="1"/>
              <c:layout>
                <c:manualLayout>
                  <c:x val="0"/>
                  <c:y val="-3.8009840657959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13-45A7-BCCA-08EAD540FDE4}"/>
                </c:ext>
              </c:extLst>
            </c:dLbl>
            <c:dLbl>
              <c:idx val="2"/>
              <c:layout>
                <c:manualLayout>
                  <c:x val="-6.6560505099690286E-17"/>
                  <c:y val="-2.533989377197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13-45A7-BCCA-08EAD540FDE4}"/>
                </c:ext>
              </c:extLst>
            </c:dLbl>
            <c:dLbl>
              <c:idx val="3"/>
              <c:layout>
                <c:manualLayout>
                  <c:x val="0"/>
                  <c:y val="-3.167486721496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13-45A7-BCCA-08EAD540FDE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'Pivort Chart'!$E$4:$E$8</c:f>
              <c:strCache>
                <c:ptCount val="4"/>
                <c:pt idx="0">
                  <c:v>David</c:v>
                </c:pt>
                <c:pt idx="1">
                  <c:v>John</c:v>
                </c:pt>
                <c:pt idx="2">
                  <c:v>Mary</c:v>
                </c:pt>
                <c:pt idx="3">
                  <c:v>Sarah</c:v>
                </c:pt>
              </c:strCache>
            </c:strRef>
          </c:cat>
          <c:val>
            <c:numRef>
              <c:f>'Pivort Chart'!$F$4:$F$8</c:f>
              <c:numCache>
                <c:formatCode>"$"#,##0;[Red]"$"#,##0</c:formatCode>
                <c:ptCount val="4"/>
                <c:pt idx="0">
                  <c:v>1540</c:v>
                </c:pt>
                <c:pt idx="1">
                  <c:v>2800</c:v>
                </c:pt>
                <c:pt idx="2">
                  <c:v>2580</c:v>
                </c:pt>
                <c:pt idx="3">
                  <c:v>2400</c:v>
                </c:pt>
              </c:numCache>
            </c:numRef>
          </c:val>
          <c:extLst>
            <c:ext xmlns:c16="http://schemas.microsoft.com/office/drawing/2014/chart" uri="{C3380CC4-5D6E-409C-BE32-E72D297353CC}">
              <c16:uniqueId val="{00000007-E24F-4DE5-B8A7-1304B503D091}"/>
            </c:ext>
          </c:extLst>
        </c:ser>
        <c:dLbls>
          <c:showLegendKey val="0"/>
          <c:showVal val="1"/>
          <c:showCatName val="0"/>
          <c:showSerName val="0"/>
          <c:showPercent val="0"/>
          <c:showBubbleSize val="0"/>
        </c:dLbls>
        <c:gapWidth val="150"/>
        <c:shape val="box"/>
        <c:axId val="518983840"/>
        <c:axId val="518984320"/>
        <c:axId val="669032688"/>
      </c:bar3DChart>
      <c:catAx>
        <c:axId val="51898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8984320"/>
        <c:crosses val="autoZero"/>
        <c:auto val="1"/>
        <c:lblAlgn val="ctr"/>
        <c:lblOffset val="100"/>
        <c:noMultiLvlLbl val="0"/>
      </c:catAx>
      <c:valAx>
        <c:axId val="518984320"/>
        <c:scaling>
          <c:orientation val="minMax"/>
        </c:scaling>
        <c:delete val="1"/>
        <c:axPos val="l"/>
        <c:numFmt formatCode="&quot;$&quot;#,##0;[Red]&quot;$&quot;#,##0" sourceLinked="1"/>
        <c:majorTickMark val="none"/>
        <c:minorTickMark val="none"/>
        <c:tickLblPos val="nextTo"/>
        <c:crossAx val="518983840"/>
        <c:crosses val="autoZero"/>
        <c:crossBetween val="between"/>
      </c:valAx>
      <c:serAx>
        <c:axId val="669032688"/>
        <c:scaling>
          <c:orientation val="minMax"/>
        </c:scaling>
        <c:delete val="1"/>
        <c:axPos val="b"/>
        <c:majorTickMark val="none"/>
        <c:minorTickMark val="none"/>
        <c:tickLblPos val="nextTo"/>
        <c:crossAx val="5189843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2025.xlsx]Pivort Chart!PivotTable9</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chemeClr val="bg1"/>
                </a:solidFill>
              </a:rPr>
              <a:t>% Revenue By Category</a:t>
            </a:r>
          </a:p>
        </c:rich>
      </c:tx>
      <c:layout>
        <c:manualLayout>
          <c:xMode val="edge"/>
          <c:yMode val="edge"/>
          <c:x val="0.25520844082523869"/>
          <c:y val="2.43672376004545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009900"/>
          </a:soli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9900"/>
          </a:solidFill>
          <a:ln>
            <a:noFill/>
          </a:ln>
          <a:effectLst/>
          <a:sp3d/>
        </c:spPr>
      </c:pivotFmt>
      <c:pivotFmt>
        <c:idx val="2"/>
        <c:spPr>
          <a:solidFill>
            <a:schemeClr val="bg1">
              <a:lumMod val="85000"/>
            </a:schemeClr>
          </a:solidFill>
          <a:ln>
            <a:noFill/>
          </a:ln>
          <a:effectLst/>
          <a:sp3d/>
        </c:spPr>
      </c:pivotFmt>
      <c:pivotFmt>
        <c:idx val="3"/>
        <c:spPr>
          <a:solidFill>
            <a:srgbClr val="92D050"/>
          </a:solidFill>
          <a:ln>
            <a:noFill/>
          </a:ln>
          <a:effectLst/>
          <a:sp3d/>
        </c:spPr>
      </c:pivotFmt>
      <c:pivotFmt>
        <c:idx val="4"/>
        <c:spPr>
          <a:solidFill>
            <a:srgbClr val="00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009900"/>
          </a:solidFill>
          <a:ln>
            <a:noFill/>
          </a:ln>
          <a:effectLst/>
          <a:sp3d/>
        </c:spPr>
      </c:pivotFmt>
      <c:pivotFmt>
        <c:idx val="6"/>
        <c:spPr>
          <a:solidFill>
            <a:schemeClr val="bg1">
              <a:lumMod val="85000"/>
            </a:schemeClr>
          </a:solidFill>
          <a:ln>
            <a:noFill/>
          </a:ln>
          <a:effectLst/>
          <a:sp3d/>
        </c:spPr>
      </c:pivotFmt>
      <c:pivotFmt>
        <c:idx val="7"/>
        <c:spPr>
          <a:solidFill>
            <a:srgbClr val="92D050"/>
          </a:solidFill>
          <a:ln>
            <a:noFill/>
          </a:ln>
          <a:effectLst/>
          <a:sp3d/>
        </c:spPr>
      </c:pivotFmt>
      <c:pivotFmt>
        <c:idx val="8"/>
        <c:spPr>
          <a:solidFill>
            <a:srgbClr val="00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1A31D41-5D25-443C-9BFC-D52A8388670B}" type="CATEGORYNAME">
                  <a:rPr lang="en-US" b="1">
                    <a:solidFill>
                      <a:schemeClr val="accent2">
                        <a:lumMod val="75000"/>
                      </a:schemeClr>
                    </a:solidFill>
                  </a:rPr>
                  <a:pPr>
                    <a:defRPr b="1">
                      <a:solidFill>
                        <a:schemeClr val="bg1"/>
                      </a:solidFill>
                    </a:defRPr>
                  </a:pPr>
                  <a:t>[CATEGORY NAME]</a:t>
                </a:fld>
                <a:r>
                  <a:rPr lang="en-US" baseline="0"/>
                  <a:t>
</a:t>
                </a:r>
                <a:fld id="{6ED51EE2-38FD-49A5-ACC2-9FA8962AAA73}" type="PERCENTAGE">
                  <a:rPr lang="en-US" baseline="0">
                    <a:solidFill>
                      <a:schemeClr val="accent2">
                        <a:lumMod val="75000"/>
                      </a:schemeClr>
                    </a:solidFill>
                  </a:rPr>
                  <a:pPr>
                    <a:defRPr b="1">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FC000"/>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B210469-922C-4024-8926-A89B9BBDE129}" type="CATEGORYNAME">
                  <a:rPr lang="en-US">
                    <a:solidFill>
                      <a:srgbClr val="FFC000"/>
                    </a:solidFill>
                  </a:rPr>
                  <a:pPr>
                    <a:defRPr b="1">
                      <a:solidFill>
                        <a:schemeClr val="bg1"/>
                      </a:solidFill>
                    </a:defRPr>
                  </a:pPr>
                  <a:t>[CATEGORY NAME]</a:t>
                </a:fld>
                <a:r>
                  <a:rPr lang="en-US" baseline="0"/>
                  <a:t>
</a:t>
                </a:r>
                <a:fld id="{EBE01375-21E8-4C6F-B30B-1BCC3881A8C7}" type="PERCENTAGE">
                  <a:rPr lang="en-US" baseline="0">
                    <a:solidFill>
                      <a:srgbClr val="FFC000"/>
                    </a:solidFill>
                  </a:rPr>
                  <a:pPr>
                    <a:defRPr b="1">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tx2"/>
          </a:solidFill>
          <a:ln>
            <a:noFill/>
          </a:ln>
          <a:effectLst/>
          <a:sp3d/>
        </c:spPr>
        <c:dLbl>
          <c:idx val="0"/>
          <c:layout>
            <c:manualLayout>
              <c:x val="2.5402649133409626E-2"/>
              <c:y val="-5.7605202067255662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EB1D3F4-A8F1-4C20-B935-A32DA3F07952}" type="CATEGORYNAME">
                  <a:rPr lang="en-US">
                    <a:solidFill>
                      <a:schemeClr val="tx2"/>
                    </a:solidFill>
                  </a:rPr>
                  <a:pPr>
                    <a:defRPr b="1">
                      <a:solidFill>
                        <a:schemeClr val="bg1"/>
                      </a:solidFill>
                    </a:defRPr>
                  </a:pPr>
                  <a:t>[CATEGORY NAME]</a:t>
                </a:fld>
                <a:r>
                  <a:rPr lang="en-US" baseline="0">
                    <a:solidFill>
                      <a:schemeClr val="bg1"/>
                    </a:solidFill>
                  </a:rPr>
                  <a:t>
</a:t>
                </a:r>
                <a:fld id="{02034A16-0B73-48CE-A45E-D82314791977}" type="PERCENTAGE">
                  <a:rPr lang="en-US" baseline="0">
                    <a:solidFill>
                      <a:schemeClr val="tx2"/>
                    </a:solidFill>
                  </a:rPr>
                  <a:pPr>
                    <a:defRPr b="1">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001552812106914E-2"/>
          <c:y val="0.13006209886709252"/>
          <c:w val="0.81055268441939943"/>
          <c:h val="0.75338049654457595"/>
        </c:manualLayout>
      </c:layout>
      <c:pie3DChart>
        <c:varyColors val="1"/>
        <c:ser>
          <c:idx val="0"/>
          <c:order val="0"/>
          <c:tx>
            <c:strRef>
              <c:f>'Pivort Chart'!$F$13</c:f>
              <c:strCache>
                <c:ptCount val="1"/>
                <c:pt idx="0">
                  <c:v>Total</c:v>
                </c:pt>
              </c:strCache>
            </c:strRef>
          </c:tx>
          <c:spPr>
            <a:solidFill>
              <a:srgbClr val="009900"/>
            </a:solidFill>
          </c:spPr>
          <c:dPt>
            <c:idx val="0"/>
            <c:bubble3D val="0"/>
            <c:spPr>
              <a:solidFill>
                <a:schemeClr val="accent2">
                  <a:lumMod val="75000"/>
                </a:schemeClr>
              </a:solidFill>
              <a:ln>
                <a:noFill/>
              </a:ln>
              <a:effectLst/>
              <a:sp3d/>
            </c:spPr>
            <c:extLst>
              <c:ext xmlns:c16="http://schemas.microsoft.com/office/drawing/2014/chart" uri="{C3380CC4-5D6E-409C-BE32-E72D297353CC}">
                <c16:uniqueId val="{00000001-034C-43EE-850F-F57C358958DC}"/>
              </c:ext>
            </c:extLst>
          </c:dPt>
          <c:dPt>
            <c:idx val="1"/>
            <c:bubble3D val="0"/>
            <c:spPr>
              <a:solidFill>
                <a:srgbClr val="FFC000"/>
              </a:solidFill>
              <a:ln>
                <a:noFill/>
              </a:ln>
              <a:effectLst/>
              <a:sp3d/>
            </c:spPr>
            <c:extLst>
              <c:ext xmlns:c16="http://schemas.microsoft.com/office/drawing/2014/chart" uri="{C3380CC4-5D6E-409C-BE32-E72D297353CC}">
                <c16:uniqueId val="{00000003-034C-43EE-850F-F57C358958DC}"/>
              </c:ext>
            </c:extLst>
          </c:dPt>
          <c:dPt>
            <c:idx val="2"/>
            <c:bubble3D val="0"/>
            <c:spPr>
              <a:solidFill>
                <a:schemeClr val="tx2"/>
              </a:solidFill>
              <a:ln>
                <a:noFill/>
              </a:ln>
              <a:effectLst/>
              <a:sp3d/>
            </c:spPr>
            <c:extLst>
              <c:ext xmlns:c16="http://schemas.microsoft.com/office/drawing/2014/chart" uri="{C3380CC4-5D6E-409C-BE32-E72D297353CC}">
                <c16:uniqueId val="{00000005-034C-43EE-850F-F57C358958DC}"/>
              </c:ext>
            </c:extLst>
          </c:dPt>
          <c:dLbls>
            <c:dLbl>
              <c:idx val="0"/>
              <c:tx>
                <c:rich>
                  <a:bodyPr/>
                  <a:lstStyle/>
                  <a:p>
                    <a:fld id="{01A31D41-5D25-443C-9BFC-D52A8388670B}" type="CATEGORYNAME">
                      <a:rPr lang="en-US" b="1">
                        <a:solidFill>
                          <a:schemeClr val="accent2">
                            <a:lumMod val="75000"/>
                          </a:schemeClr>
                        </a:solidFill>
                      </a:rPr>
                      <a:pPr/>
                      <a:t>[CATEGORY NAME]</a:t>
                    </a:fld>
                    <a:r>
                      <a:rPr lang="en-US" baseline="0"/>
                      <a:t>
</a:t>
                    </a:r>
                    <a:fld id="{6ED51EE2-38FD-49A5-ACC2-9FA8962AAA73}" type="PERCENTAGE">
                      <a:rPr lang="en-US" baseline="0">
                        <a:solidFill>
                          <a:schemeClr val="accent2">
                            <a:lumMod val="75000"/>
                          </a:schemeClr>
                        </a:solidFill>
                      </a:rPr>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4C-43EE-850F-F57C358958DC}"/>
                </c:ext>
              </c:extLst>
            </c:dLbl>
            <c:dLbl>
              <c:idx val="1"/>
              <c:tx>
                <c:rich>
                  <a:bodyPr/>
                  <a:lstStyle/>
                  <a:p>
                    <a:fld id="{3B210469-922C-4024-8926-A89B9BBDE129}" type="CATEGORYNAME">
                      <a:rPr lang="en-US">
                        <a:solidFill>
                          <a:srgbClr val="FFC000"/>
                        </a:solidFill>
                      </a:rPr>
                      <a:pPr/>
                      <a:t>[CATEGORY NAME]</a:t>
                    </a:fld>
                    <a:r>
                      <a:rPr lang="en-US" baseline="0"/>
                      <a:t>
</a:t>
                    </a:r>
                    <a:fld id="{EBE01375-21E8-4C6F-B30B-1BCC3881A8C7}" type="PERCENTAGE">
                      <a:rPr lang="en-US" baseline="0">
                        <a:solidFill>
                          <a:srgbClr val="FFC000"/>
                        </a:solidFill>
                      </a:rPr>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34C-43EE-850F-F57C358958DC}"/>
                </c:ext>
              </c:extLst>
            </c:dLbl>
            <c:dLbl>
              <c:idx val="2"/>
              <c:layout>
                <c:manualLayout>
                  <c:x val="2.5402649133409626E-2"/>
                  <c:y val="-5.7605202067255662E-3"/>
                </c:manualLayout>
              </c:layout>
              <c:tx>
                <c:rich>
                  <a:bodyPr/>
                  <a:lstStyle/>
                  <a:p>
                    <a:fld id="{FEB1D3F4-A8F1-4C20-B935-A32DA3F07952}" type="CATEGORYNAME">
                      <a:rPr lang="en-US">
                        <a:solidFill>
                          <a:schemeClr val="tx2"/>
                        </a:solidFill>
                      </a:rPr>
                      <a:pPr/>
                      <a:t>[CATEGORY NAME]</a:t>
                    </a:fld>
                    <a:r>
                      <a:rPr lang="en-US" baseline="0">
                        <a:solidFill>
                          <a:schemeClr val="bg1"/>
                        </a:solidFill>
                      </a:rPr>
                      <a:t>
</a:t>
                    </a:r>
                    <a:fld id="{02034A16-0B73-48CE-A45E-D82314791977}" type="PERCENTAGE">
                      <a:rPr lang="en-US" baseline="0">
                        <a:solidFill>
                          <a:schemeClr val="tx2"/>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34C-43EE-850F-F57C358958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'Pivort Chart'!$E$14:$E$17</c:f>
              <c:strCache>
                <c:ptCount val="3"/>
                <c:pt idx="0">
                  <c:v>Electronics</c:v>
                </c:pt>
                <c:pt idx="1">
                  <c:v>Furniture</c:v>
                </c:pt>
                <c:pt idx="2">
                  <c:v>Office</c:v>
                </c:pt>
              </c:strCache>
            </c:strRef>
          </c:cat>
          <c:val>
            <c:numRef>
              <c:f>'Pivort Chart'!$F$14:$F$17</c:f>
              <c:numCache>
                <c:formatCode>"$"#,##0;[Red]"$"#,##0</c:formatCode>
                <c:ptCount val="3"/>
                <c:pt idx="0">
                  <c:v>6700</c:v>
                </c:pt>
                <c:pt idx="1">
                  <c:v>1720</c:v>
                </c:pt>
                <c:pt idx="2">
                  <c:v>900</c:v>
                </c:pt>
              </c:numCache>
            </c:numRef>
          </c:val>
          <c:extLst>
            <c:ext xmlns:c16="http://schemas.microsoft.com/office/drawing/2014/chart" uri="{C3380CC4-5D6E-409C-BE32-E72D297353CC}">
              <c16:uniqueId val="{0000000A-A728-4AE3-8B3B-FDCC5D30AC0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2025.xlsx]Pivort Chart!PivotTable4</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revenue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Chart'!$N$3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'Pivort Chart'!$M$4:$M$11</c:f>
              <c:strCache>
                <c:ptCount val="7"/>
                <c:pt idx="0">
                  <c:v>Sunday</c:v>
                </c:pt>
                <c:pt idx="1">
                  <c:v>Monday</c:v>
                </c:pt>
                <c:pt idx="2">
                  <c:v>Tuesday</c:v>
                </c:pt>
                <c:pt idx="3">
                  <c:v>Wednesday</c:v>
                </c:pt>
                <c:pt idx="4">
                  <c:v>Thursday</c:v>
                </c:pt>
                <c:pt idx="5">
                  <c:v>Friday</c:v>
                </c:pt>
                <c:pt idx="6">
                  <c:v>Saturday</c:v>
                </c:pt>
              </c:strCache>
            </c:strRef>
          </c:cat>
          <c:val>
            <c:numRef>
              <c:f>'Pivort Chart'!$N$4:$N$11</c:f>
              <c:numCache>
                <c:formatCode>"$"#,##0;[Red]"$"#,##0</c:formatCode>
                <c:ptCount val="7"/>
                <c:pt idx="0">
                  <c:v>240</c:v>
                </c:pt>
                <c:pt idx="1">
                  <c:v>2000</c:v>
                </c:pt>
                <c:pt idx="2">
                  <c:v>800</c:v>
                </c:pt>
                <c:pt idx="3">
                  <c:v>2980</c:v>
                </c:pt>
                <c:pt idx="4">
                  <c:v>1600</c:v>
                </c:pt>
                <c:pt idx="5">
                  <c:v>300</c:v>
                </c:pt>
                <c:pt idx="6">
                  <c:v>1400</c:v>
                </c:pt>
              </c:numCache>
            </c:numRef>
          </c:val>
          <c:smooth val="0"/>
          <c:extLst>
            <c:ext xmlns:c16="http://schemas.microsoft.com/office/drawing/2014/chart" uri="{C3380CC4-5D6E-409C-BE32-E72D297353CC}">
              <c16:uniqueId val="{00000001-B7DE-457E-BBE5-E6CDCACD371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6748479"/>
        <c:axId val="1910604591"/>
      </c:lineChart>
      <c:catAx>
        <c:axId val="7674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10604591"/>
        <c:crosses val="autoZero"/>
        <c:auto val="1"/>
        <c:lblAlgn val="ctr"/>
        <c:lblOffset val="100"/>
        <c:noMultiLvlLbl val="0"/>
      </c:catAx>
      <c:valAx>
        <c:axId val="1910604591"/>
        <c:scaling>
          <c:orientation val="minMax"/>
        </c:scaling>
        <c:delete val="1"/>
        <c:axPos val="l"/>
        <c:numFmt formatCode="&quot;$&quot;#,##0;[Red]&quot;$&quot;#,##0" sourceLinked="1"/>
        <c:majorTickMark val="none"/>
        <c:minorTickMark val="none"/>
        <c:tickLblPos val="nextTo"/>
        <c:crossAx val="7674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23232</xdr:colOff>
      <xdr:row>3</xdr:row>
      <xdr:rowOff>11615</xdr:rowOff>
    </xdr:from>
    <xdr:to>
      <xdr:col>14</xdr:col>
      <xdr:colOff>383324</xdr:colOff>
      <xdr:row>28</xdr:row>
      <xdr:rowOff>81311</xdr:rowOff>
    </xdr:to>
    <xdr:sp macro="" textlink="">
      <xdr:nvSpPr>
        <xdr:cNvPr id="15" name="Rectangle 14">
          <a:extLst>
            <a:ext uri="{FF2B5EF4-FFF2-40B4-BE49-F238E27FC236}">
              <a16:creationId xmlns:a16="http://schemas.microsoft.com/office/drawing/2014/main" id="{A03B635C-DC3D-FA3A-6914-A3CE39A9E901}"/>
            </a:ext>
          </a:extLst>
        </xdr:cNvPr>
        <xdr:cNvSpPr/>
      </xdr:nvSpPr>
      <xdr:spPr>
        <a:xfrm>
          <a:off x="23232" y="569176"/>
          <a:ext cx="8816433" cy="471603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27</xdr:col>
      <xdr:colOff>186357</xdr:colOff>
      <xdr:row>2</xdr:row>
      <xdr:rowOff>162622</xdr:rowOff>
    </xdr:to>
    <xdr:sp macro="" textlink="">
      <xdr:nvSpPr>
        <xdr:cNvPr id="2" name="Rectangle 1">
          <a:extLst>
            <a:ext uri="{FF2B5EF4-FFF2-40B4-BE49-F238E27FC236}">
              <a16:creationId xmlns:a16="http://schemas.microsoft.com/office/drawing/2014/main" id="{10E6826D-4F96-03FF-271E-91A414A69B96}"/>
            </a:ext>
          </a:extLst>
        </xdr:cNvPr>
        <xdr:cNvSpPr/>
      </xdr:nvSpPr>
      <xdr:spPr>
        <a:xfrm>
          <a:off x="0" y="0"/>
          <a:ext cx="16679102" cy="535339"/>
        </a:xfrm>
        <a:prstGeom prst="rect">
          <a:avLst/>
        </a:prstGeom>
        <a:solidFill>
          <a:srgbClr val="00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525238</xdr:colOff>
      <xdr:row>5</xdr:row>
      <xdr:rowOff>91665</xdr:rowOff>
    </xdr:from>
    <xdr:to>
      <xdr:col>8</xdr:col>
      <xdr:colOff>548471</xdr:colOff>
      <xdr:row>17</xdr:row>
      <xdr:rowOff>68433</xdr:rowOff>
    </xdr:to>
    <xdr:graphicFrame macro="">
      <xdr:nvGraphicFramePr>
        <xdr:cNvPr id="5" name="Chart 4">
          <a:extLst>
            <a:ext uri="{FF2B5EF4-FFF2-40B4-BE49-F238E27FC236}">
              <a16:creationId xmlns:a16="http://schemas.microsoft.com/office/drawing/2014/main" id="{1DA59BF6-18FE-4663-B968-A17A5E069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557560</xdr:colOff>
      <xdr:row>17</xdr:row>
      <xdr:rowOff>11617</xdr:rowOff>
    </xdr:from>
    <xdr:to>
      <xdr:col>8</xdr:col>
      <xdr:colOff>522713</xdr:colOff>
      <xdr:row>28</xdr:row>
      <xdr:rowOff>46464</xdr:rowOff>
    </xdr:to>
    <xdr:graphicFrame macro="">
      <xdr:nvGraphicFramePr>
        <xdr:cNvPr id="8" name="Chart 7">
          <a:extLst>
            <a:ext uri="{FF2B5EF4-FFF2-40B4-BE49-F238E27FC236}">
              <a16:creationId xmlns:a16="http://schemas.microsoft.com/office/drawing/2014/main" id="{68A5A1EE-1BB2-40AD-8ECA-396E3C3BE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560042</xdr:colOff>
      <xdr:row>5</xdr:row>
      <xdr:rowOff>77763</xdr:rowOff>
    </xdr:from>
    <xdr:to>
      <xdr:col>14</xdr:col>
      <xdr:colOff>419309</xdr:colOff>
      <xdr:row>16</xdr:row>
      <xdr:rowOff>100995</xdr:rowOff>
    </xdr:to>
    <xdr:graphicFrame macro="">
      <xdr:nvGraphicFramePr>
        <xdr:cNvPr id="10" name="Chart 9">
          <a:extLst>
            <a:ext uri="{FF2B5EF4-FFF2-40B4-BE49-F238E27FC236}">
              <a16:creationId xmlns:a16="http://schemas.microsoft.com/office/drawing/2014/main" id="{529E152D-5B9C-4D72-A8E0-2196C0EF5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382594</xdr:colOff>
      <xdr:row>5</xdr:row>
      <xdr:rowOff>92604</xdr:rowOff>
    </xdr:from>
    <xdr:to>
      <xdr:col>20</xdr:col>
      <xdr:colOff>396875</xdr:colOff>
      <xdr:row>28</xdr:row>
      <xdr:rowOff>105833</xdr:rowOff>
    </xdr:to>
    <xdr:graphicFrame macro="">
      <xdr:nvGraphicFramePr>
        <xdr:cNvPr id="11" name="Chart 10">
          <a:extLst>
            <a:ext uri="{FF2B5EF4-FFF2-40B4-BE49-F238E27FC236}">
              <a16:creationId xmlns:a16="http://schemas.microsoft.com/office/drawing/2014/main" id="{C97BC8BC-546F-4DAE-A694-820C7E947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549813</xdr:colOff>
      <xdr:row>0</xdr:row>
      <xdr:rowOff>0</xdr:rowOff>
    </xdr:from>
    <xdr:to>
      <xdr:col>11</xdr:col>
      <xdr:colOff>73269</xdr:colOff>
      <xdr:row>2</xdr:row>
      <xdr:rowOff>69697</xdr:rowOff>
    </xdr:to>
    <xdr:sp macro="" textlink="">
      <xdr:nvSpPr>
        <xdr:cNvPr id="12" name="TextBox 11">
          <a:extLst>
            <a:ext uri="{FF2B5EF4-FFF2-40B4-BE49-F238E27FC236}">
              <a16:creationId xmlns:a16="http://schemas.microsoft.com/office/drawing/2014/main" id="{D98A9ED8-9F66-207C-3653-960AC3F65012}"/>
            </a:ext>
          </a:extLst>
        </xdr:cNvPr>
        <xdr:cNvSpPr txBox="1"/>
      </xdr:nvSpPr>
      <xdr:spPr>
        <a:xfrm>
          <a:off x="5654236" y="0"/>
          <a:ext cx="4530187" cy="411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a:t>
          </a:r>
          <a:r>
            <a:rPr lang="en-US" sz="2800" b="1" baseline="0">
              <a:solidFill>
                <a:schemeClr val="bg1"/>
              </a:solidFill>
            </a:rPr>
            <a:t> DASHBOARD 2025</a:t>
          </a:r>
          <a:endParaRPr lang="en-US" sz="2800" b="1">
            <a:solidFill>
              <a:schemeClr val="bg1"/>
            </a:solidFill>
          </a:endParaRPr>
        </a:p>
      </xdr:txBody>
    </xdr:sp>
    <xdr:clientData/>
  </xdr:twoCellAnchor>
  <xdr:twoCellAnchor>
    <xdr:from>
      <xdr:col>11</xdr:col>
      <xdr:colOff>278781</xdr:colOff>
      <xdr:row>3</xdr:row>
      <xdr:rowOff>11616</xdr:rowOff>
    </xdr:from>
    <xdr:to>
      <xdr:col>20</xdr:col>
      <xdr:colOff>343958</xdr:colOff>
      <xdr:row>5</xdr:row>
      <xdr:rowOff>81311</xdr:rowOff>
    </xdr:to>
    <xdr:sp macro="" textlink="'Pivort Chart'!I15">
      <xdr:nvSpPr>
        <xdr:cNvPr id="3" name="Rectangle 2">
          <a:extLst>
            <a:ext uri="{FF2B5EF4-FFF2-40B4-BE49-F238E27FC236}">
              <a16:creationId xmlns:a16="http://schemas.microsoft.com/office/drawing/2014/main" id="{AB2FBB23-EE02-E97E-866E-9C34266E8620}"/>
            </a:ext>
          </a:extLst>
        </xdr:cNvPr>
        <xdr:cNvSpPr/>
      </xdr:nvSpPr>
      <xdr:spPr>
        <a:xfrm>
          <a:off x="8547010" y="540783"/>
          <a:ext cx="5436219" cy="44011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C4FBEA3F-2F11-4624-AAE9-A44A375298A5}" type="TxLink">
            <a:rPr lang="en-US" sz="2400" b="1" i="0" u="none" strike="noStrike">
              <a:solidFill>
                <a:schemeClr val="bg1"/>
              </a:solidFill>
              <a:latin typeface="Calibri"/>
              <a:ea typeface="Calibri"/>
              <a:cs typeface="Calibri"/>
            </a:rPr>
            <a:pPr algn="r"/>
            <a:t>$9,320</a:t>
          </a:fld>
          <a:endParaRPr lang="en-US" sz="2400" b="1">
            <a:solidFill>
              <a:schemeClr val="bg1"/>
            </a:solidFill>
          </a:endParaRPr>
        </a:p>
      </xdr:txBody>
    </xdr:sp>
    <xdr:clientData/>
  </xdr:twoCellAnchor>
  <xdr:oneCellAnchor>
    <xdr:from>
      <xdr:col>11</xdr:col>
      <xdr:colOff>232319</xdr:colOff>
      <xdr:row>2</xdr:row>
      <xdr:rowOff>151007</xdr:rowOff>
    </xdr:from>
    <xdr:ext cx="1026178" cy="264560"/>
    <xdr:sp macro="" textlink="">
      <xdr:nvSpPr>
        <xdr:cNvPr id="6" name="TextBox 5">
          <a:extLst>
            <a:ext uri="{FF2B5EF4-FFF2-40B4-BE49-F238E27FC236}">
              <a16:creationId xmlns:a16="http://schemas.microsoft.com/office/drawing/2014/main" id="{B237FF1C-3314-93EC-1EF9-AA66CCAD4713}"/>
            </a:ext>
          </a:extLst>
        </xdr:cNvPr>
        <xdr:cNvSpPr txBox="1"/>
      </xdr:nvSpPr>
      <xdr:spPr>
        <a:xfrm>
          <a:off x="6876587" y="522714"/>
          <a:ext cx="1026178"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a:t>
          </a:r>
          <a:r>
            <a:rPr lang="en-US" sz="1100" b="1" baseline="0">
              <a:solidFill>
                <a:schemeClr val="bg1"/>
              </a:solidFill>
            </a:rPr>
            <a:t> Revenue</a:t>
          </a:r>
          <a:endParaRPr lang="en-US" sz="1100" b="1">
            <a:solidFill>
              <a:schemeClr val="bg1"/>
            </a:solidFill>
          </a:endParaRPr>
        </a:p>
      </xdr:txBody>
    </xdr:sp>
    <xdr:clientData/>
  </xdr:oneCellAnchor>
  <xdr:twoCellAnchor>
    <xdr:from>
      <xdr:col>7</xdr:col>
      <xdr:colOff>476250</xdr:colOff>
      <xdr:row>3</xdr:row>
      <xdr:rowOff>23233</xdr:rowOff>
    </xdr:from>
    <xdr:to>
      <xdr:col>11</xdr:col>
      <xdr:colOff>267165</xdr:colOff>
      <xdr:row>5</xdr:row>
      <xdr:rowOff>81311</xdr:rowOff>
    </xdr:to>
    <xdr:sp macro="" textlink="'Pivort Chart'!K15">
      <xdr:nvSpPr>
        <xdr:cNvPr id="7" name="Rectangle 6">
          <a:extLst>
            <a:ext uri="{FF2B5EF4-FFF2-40B4-BE49-F238E27FC236}">
              <a16:creationId xmlns:a16="http://schemas.microsoft.com/office/drawing/2014/main" id="{D2459888-E242-A13C-CA9D-AC5169973551}"/>
            </a:ext>
          </a:extLst>
        </xdr:cNvPr>
        <xdr:cNvSpPr/>
      </xdr:nvSpPr>
      <xdr:spPr>
        <a:xfrm>
          <a:off x="4704421" y="580794"/>
          <a:ext cx="2207012" cy="42978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78197FE-7DD9-487C-94BD-423509632744}" type="TxLink">
            <a:rPr lang="en-US" sz="2400" b="1" i="0" u="none" strike="noStrike">
              <a:solidFill>
                <a:schemeClr val="bg1"/>
              </a:solidFill>
              <a:latin typeface="Calibri"/>
              <a:ea typeface="Calibri"/>
              <a:cs typeface="Calibri"/>
            </a:rPr>
            <a:pPr algn="r"/>
            <a:t>25</a:t>
          </a:fld>
          <a:endParaRPr lang="en-US" sz="2400" b="1">
            <a:solidFill>
              <a:schemeClr val="bg1"/>
            </a:solidFill>
          </a:endParaRPr>
        </a:p>
      </xdr:txBody>
    </xdr:sp>
    <xdr:clientData/>
  </xdr:twoCellAnchor>
  <xdr:oneCellAnchor>
    <xdr:from>
      <xdr:col>7</xdr:col>
      <xdr:colOff>407949</xdr:colOff>
      <xdr:row>2</xdr:row>
      <xdr:rowOff>116159</xdr:rowOff>
    </xdr:from>
    <xdr:ext cx="1041247" cy="313628"/>
    <xdr:sp macro="" textlink="">
      <xdr:nvSpPr>
        <xdr:cNvPr id="9" name="TextBox 8">
          <a:extLst>
            <a:ext uri="{FF2B5EF4-FFF2-40B4-BE49-F238E27FC236}">
              <a16:creationId xmlns:a16="http://schemas.microsoft.com/office/drawing/2014/main" id="{50408CF7-C208-DD4E-3DEC-1C920B39353B}"/>
            </a:ext>
          </a:extLst>
        </xdr:cNvPr>
        <xdr:cNvSpPr txBox="1"/>
      </xdr:nvSpPr>
      <xdr:spPr>
        <a:xfrm>
          <a:off x="4636120" y="487866"/>
          <a:ext cx="1041247" cy="3136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Total</a:t>
          </a:r>
          <a:r>
            <a:rPr lang="en-US" sz="1400" b="1" baseline="0">
              <a:solidFill>
                <a:schemeClr val="bg1"/>
              </a:solidFill>
            </a:rPr>
            <a:t> </a:t>
          </a:r>
          <a:r>
            <a:rPr lang="en-US" sz="1100" b="1" baseline="0">
              <a:solidFill>
                <a:schemeClr val="bg1"/>
              </a:solidFill>
            </a:rPr>
            <a:t>Quantity</a:t>
          </a:r>
          <a:endParaRPr lang="en-US" sz="1100" b="1">
            <a:solidFill>
              <a:schemeClr val="bg1"/>
            </a:solidFill>
          </a:endParaRPr>
        </a:p>
      </xdr:txBody>
    </xdr:sp>
    <xdr:clientData/>
  </xdr:oneCellAnchor>
  <xdr:twoCellAnchor>
    <xdr:from>
      <xdr:col>3</xdr:col>
      <xdr:colOff>569177</xdr:colOff>
      <xdr:row>3</xdr:row>
      <xdr:rowOff>23231</xdr:rowOff>
    </xdr:from>
    <xdr:to>
      <xdr:col>7</xdr:col>
      <xdr:colOff>464634</xdr:colOff>
      <xdr:row>5</xdr:row>
      <xdr:rowOff>81310</xdr:rowOff>
    </xdr:to>
    <xdr:sp macro="" textlink="'Pivort Chart'!I21">
      <xdr:nvSpPr>
        <xdr:cNvPr id="13" name="Rectangle 12">
          <a:extLst>
            <a:ext uri="{FF2B5EF4-FFF2-40B4-BE49-F238E27FC236}">
              <a16:creationId xmlns:a16="http://schemas.microsoft.com/office/drawing/2014/main" id="{80ECFDD6-120B-2E13-044A-2B508EF36647}"/>
            </a:ext>
          </a:extLst>
        </xdr:cNvPr>
        <xdr:cNvSpPr/>
      </xdr:nvSpPr>
      <xdr:spPr>
        <a:xfrm>
          <a:off x="2381250" y="580792"/>
          <a:ext cx="2311555" cy="42978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E020068-B1F3-4A27-8C87-BED60F03240F}" type="TxLink">
            <a:rPr lang="en-US" sz="2400" b="1" i="0" u="none" strike="noStrike">
              <a:solidFill>
                <a:schemeClr val="bg1"/>
              </a:solidFill>
              <a:latin typeface="Calibri"/>
              <a:ea typeface="Calibri"/>
              <a:cs typeface="Calibri"/>
            </a:rPr>
            <a:pPr algn="r"/>
            <a:t>12</a:t>
          </a:fld>
          <a:endParaRPr lang="en-US" sz="2400" b="1">
            <a:solidFill>
              <a:schemeClr val="bg1"/>
            </a:solidFill>
          </a:endParaRPr>
        </a:p>
      </xdr:txBody>
    </xdr:sp>
    <xdr:clientData/>
  </xdr:twoCellAnchor>
  <xdr:oneCellAnchor>
    <xdr:from>
      <xdr:col>4</xdr:col>
      <xdr:colOff>2786</xdr:colOff>
      <xdr:row>2</xdr:row>
      <xdr:rowOff>142178</xdr:rowOff>
    </xdr:from>
    <xdr:ext cx="1216878" cy="311496"/>
    <xdr:sp macro="" textlink="">
      <xdr:nvSpPr>
        <xdr:cNvPr id="14" name="TextBox 13">
          <a:extLst>
            <a:ext uri="{FF2B5EF4-FFF2-40B4-BE49-F238E27FC236}">
              <a16:creationId xmlns:a16="http://schemas.microsoft.com/office/drawing/2014/main" id="{25F9DF83-5E55-8754-DD33-56CB48D393AA}"/>
            </a:ext>
          </a:extLst>
        </xdr:cNvPr>
        <xdr:cNvSpPr txBox="1"/>
      </xdr:nvSpPr>
      <xdr:spPr>
        <a:xfrm>
          <a:off x="2418884" y="513885"/>
          <a:ext cx="1216878"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Total</a:t>
          </a:r>
          <a:r>
            <a:rPr lang="en-US" sz="1400" b="1" baseline="0">
              <a:solidFill>
                <a:schemeClr val="bg1"/>
              </a:solidFill>
            </a:rPr>
            <a:t> </a:t>
          </a:r>
          <a:r>
            <a:rPr lang="en-US" sz="1100" b="1" baseline="0">
              <a:solidFill>
                <a:schemeClr val="bg1"/>
              </a:solidFill>
            </a:rPr>
            <a:t>Order</a:t>
          </a:r>
          <a:endParaRPr lang="en-US" sz="1100" b="1">
            <a:solidFill>
              <a:schemeClr val="bg1"/>
            </a:solidFill>
          </a:endParaRPr>
        </a:p>
      </xdr:txBody>
    </xdr:sp>
    <xdr:clientData/>
  </xdr:oneCellAnchor>
  <xdr:twoCellAnchor>
    <xdr:from>
      <xdr:col>0</xdr:col>
      <xdr:colOff>534329</xdr:colOff>
      <xdr:row>3</xdr:row>
      <xdr:rowOff>23232</xdr:rowOff>
    </xdr:from>
    <xdr:to>
      <xdr:col>3</xdr:col>
      <xdr:colOff>534329</xdr:colOff>
      <xdr:row>28</xdr:row>
      <xdr:rowOff>58080</xdr:rowOff>
    </xdr:to>
    <xdr:sp macro="" textlink="">
      <xdr:nvSpPr>
        <xdr:cNvPr id="16" name="Rectangle 15">
          <a:extLst>
            <a:ext uri="{FF2B5EF4-FFF2-40B4-BE49-F238E27FC236}">
              <a16:creationId xmlns:a16="http://schemas.microsoft.com/office/drawing/2014/main" id="{5E2EECB1-EB92-58CE-AA9C-CBA0861D7950}"/>
            </a:ext>
          </a:extLst>
        </xdr:cNvPr>
        <xdr:cNvSpPr/>
      </xdr:nvSpPr>
      <xdr:spPr>
        <a:xfrm>
          <a:off x="534329" y="580793"/>
          <a:ext cx="1812073" cy="468118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xdr:colOff>
      <xdr:row>11</xdr:row>
      <xdr:rowOff>58081</xdr:rowOff>
    </xdr:from>
    <xdr:to>
      <xdr:col>3</xdr:col>
      <xdr:colOff>476252</xdr:colOff>
      <xdr:row>19</xdr:row>
      <xdr:rowOff>116159</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A2AA1A05-55EF-4E9B-A9F9-39BAB9539D1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10843" y="2108027"/>
              <a:ext cx="1697936" cy="1548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23230</xdr:colOff>
      <xdr:row>20</xdr:row>
      <xdr:rowOff>42677</xdr:rowOff>
    </xdr:from>
    <xdr:to>
      <xdr:col>3</xdr:col>
      <xdr:colOff>455544</xdr:colOff>
      <xdr:row>27</xdr:row>
      <xdr:rowOff>170451</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CF02612-104D-4E3F-B7F2-261E74E931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4072" y="3769851"/>
              <a:ext cx="1653999" cy="1432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604021</xdr:colOff>
      <xdr:row>3</xdr:row>
      <xdr:rowOff>81310</xdr:rowOff>
    </xdr:from>
    <xdr:to>
      <xdr:col>3</xdr:col>
      <xdr:colOff>464634</xdr:colOff>
      <xdr:row>11</xdr:row>
      <xdr:rowOff>11616</xdr:rowOff>
    </xdr:to>
    <mc:AlternateContent xmlns:mc="http://schemas.openxmlformats.org/markup-compatibility/2006" xmlns:a14="http://schemas.microsoft.com/office/drawing/2010/main">
      <mc:Choice Requires="a14">
        <xdr:graphicFrame macro="">
          <xdr:nvGraphicFramePr>
            <xdr:cNvPr id="19" name="Salesperson 1">
              <a:extLst>
                <a:ext uri="{FF2B5EF4-FFF2-40B4-BE49-F238E27FC236}">
                  <a16:creationId xmlns:a16="http://schemas.microsoft.com/office/drawing/2014/main" id="{35C2F35E-6BE6-4841-9004-2B7B2362FCC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04021" y="640386"/>
              <a:ext cx="1693140" cy="1421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245327</xdr:colOff>
      <xdr:row>38</xdr:row>
      <xdr:rowOff>152401</xdr:rowOff>
    </xdr:from>
    <xdr:to>
      <xdr:col>20</xdr:col>
      <xdr:colOff>210479</xdr:colOff>
      <xdr:row>46</xdr:row>
      <xdr:rowOff>46463</xdr:rowOff>
    </xdr:to>
    <xdr:sp macro="" textlink="">
      <xdr:nvSpPr>
        <xdr:cNvPr id="20" name="Rectangle 19">
          <a:extLst>
            <a:ext uri="{FF2B5EF4-FFF2-40B4-BE49-F238E27FC236}">
              <a16:creationId xmlns:a16="http://schemas.microsoft.com/office/drawing/2014/main" id="{7DC4711A-BBAD-42BA-EE6E-A3FF5819C061}"/>
            </a:ext>
          </a:extLst>
        </xdr:cNvPr>
        <xdr:cNvSpPr/>
      </xdr:nvSpPr>
      <xdr:spPr>
        <a:xfrm>
          <a:off x="10513742" y="7214840"/>
          <a:ext cx="1777225" cy="138089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542396</xdr:colOff>
      <xdr:row>16</xdr:row>
      <xdr:rowOff>132291</xdr:rowOff>
    </xdr:from>
    <xdr:to>
      <xdr:col>14</xdr:col>
      <xdr:colOff>365125</xdr:colOff>
      <xdr:row>28</xdr:row>
      <xdr:rowOff>66146</xdr:rowOff>
    </xdr:to>
    <xdr:graphicFrame macro="">
      <xdr:nvGraphicFramePr>
        <xdr:cNvPr id="4" name="Chart 3">
          <a:extLst>
            <a:ext uri="{FF2B5EF4-FFF2-40B4-BE49-F238E27FC236}">
              <a16:creationId xmlns:a16="http://schemas.microsoft.com/office/drawing/2014/main" id="{8868398D-9ABC-4D9C-A30C-E4355579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0879628" backgroundQuery="1" createdVersion="8" refreshedVersion="8" minRefreshableVersion="3" recordCount="0" supportSubquery="1" supportAdvancedDrill="1" xr:uid="{7F9130E5-682C-40EF-8258-EC1C3B6F240D}">
  <cacheSource type="external" connectionId="1"/>
  <cacheFields count="3">
    <cacheField name="[Table3].[Region].[Region]" caption="Region" numFmtId="0" hierarchy="3" level="1">
      <sharedItems count="4">
        <s v="East"/>
        <s v="North"/>
        <s v="South"/>
        <s v="West"/>
      </sharedItems>
    </cacheField>
    <cacheField name="[Measures].[Sum of Revenue 2]" caption="Sum of Revenue 2" numFmtId="0" hierarchy="12" level="32767"/>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0"/>
      </fieldsUsage>
    </cacheHierarchy>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2"/>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1458336" backgroundQuery="1" createdVersion="8" refreshedVersion="8" minRefreshableVersion="3" recordCount="0" supportSubquery="1" supportAdvancedDrill="1" xr:uid="{A61C54F1-E8E3-4133-8C02-3EDCE3172BE5}">
  <cacheSource type="external" connectionId="1"/>
  <cacheFields count="2">
    <cacheField name="[Measures].[Sum of Revenue 2]" caption="Sum of Revenue 2" numFmtId="0" hierarchy="12" level="32767"/>
    <cacheField name="[Table3].[Product].[Product]" caption="Product" numFmtId="0" hierarchy="5" level="1">
      <sharedItems count="5">
        <s v="Chair"/>
        <s v="Desk"/>
        <s v="Laptop"/>
        <s v="Phone"/>
        <s v="Printer"/>
      </sharedItems>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2037036" backgroundQuery="1" createdVersion="8" refreshedVersion="8" minRefreshableVersion="3" recordCount="0" supportSubquery="1" supportAdvancedDrill="1" xr:uid="{4B3279A1-8412-4E20-96D7-C2A7D579BC65}">
  <cacheSource type="external" connectionId="1"/>
  <cacheFields count="3">
    <cacheField name="[Measures].[Sum of Revenue 2]" caption="Sum of Revenue 2" numFmtId="0" hierarchy="12" level="32767"/>
    <cacheField name="[Table3].[Salesperson].[Salesperson]" caption="Salesperson" numFmtId="0" hierarchy="4" level="1">
      <sharedItems count="4">
        <s v="David"/>
        <s v="John"/>
        <s v="Mary"/>
        <s v="Sarah"/>
      </sharedItems>
    </cacheField>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fieldsUsage count="2">
        <fieldUsage x="-1"/>
        <fieldUsage x="1"/>
      </fieldsUsage>
    </cacheHierarchy>
    <cacheHierarchy uniqueName="[Table3].[Product]" caption="Product" attribute="1" defaultMemberUniqueName="[Table3].[Product].[All]" allUniqueName="[Table3].[Product].[All]" dimensionUniqueName="[Table3]" displayFolder="" count="2" memberValueDatatype="130" unbalanced="0">
      <fieldsUsage count="2">
        <fieldUsage x="-1"/>
        <fieldUsage x="2"/>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2615744" backgroundQuery="1" createdVersion="8" refreshedVersion="8" minRefreshableVersion="3" recordCount="0" supportSubquery="1" supportAdvancedDrill="1" xr:uid="{80299118-C510-4EE2-905B-31EF71D8ECCB}">
  <cacheSource type="external" connectionId="1"/>
  <cacheFields count="3">
    <cacheField name="[Measures].[Sum of Revenue 2]" caption="Sum of Revenue 2" numFmtId="0" hierarchy="12" level="32767"/>
    <cacheField name="[Table3].[Category].[Category]" caption="Category" numFmtId="0" hierarchy="6" level="1">
      <sharedItems count="3">
        <s v="Electronics"/>
        <s v="Furniture"/>
        <s v="Office"/>
      </sharedItems>
    </cacheField>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2"/>
      </fieldsUsage>
    </cacheHierarchy>
    <cacheHierarchy uniqueName="[Table3].[Category]" caption="Category" attribute="1" defaultMemberUniqueName="[Table3].[Category].[All]" allUniqueName="[Table3].[Category].[All]" dimensionUniqueName="[Table3]" displayFolder="" count="2" memberValueDatatype="130" unbalanced="0">
      <fieldsUsage count="2">
        <fieldUsage x="-1"/>
        <fieldUsage x="1"/>
      </fieldsUsage>
    </cacheHierarchy>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296296" backgroundQuery="1" createdVersion="8" refreshedVersion="8" minRefreshableVersion="3" recordCount="0" supportSubquery="1" supportAdvancedDrill="1" xr:uid="{0EABDF20-A4EF-4D17-90C3-5687185EC414}">
  <cacheSource type="external" connectionId="1"/>
  <cacheFields count="2">
    <cacheField name="[Measures].[Sum of Revenue 2]" caption="Sum of Revenue 2" numFmtId="0" hierarchy="12" level="32767"/>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3310183" backgroundQuery="1" createdVersion="8" refreshedVersion="8" minRefreshableVersion="3" recordCount="0" supportSubquery="1" supportAdvancedDrill="1" xr:uid="{E111FD0A-29D8-45EB-8010-96C015824830}">
  <cacheSource type="external" connectionId="1"/>
  <cacheFields count="2">
    <cacheField name="[Measures].[Sum of Quantity 2]" caption="Sum of Quantity 2" numFmtId="0" hierarchy="14" level="32767"/>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3773145" backgroundQuery="1" createdVersion="8" refreshedVersion="8" minRefreshableVersion="3" recordCount="0" supportSubquery="1" supportAdvancedDrill="1" xr:uid="{CBBBEADD-FA80-44A1-BE4D-7FE623CB15E0}">
  <cacheSource type="external" connectionId="1"/>
  <cacheFields count="2">
    <cacheField name="[Measures].[Distinct Count of OrderID 2]" caption="Distinct Count of OrderID 2" numFmtId="0" hierarchy="16" level="32767"/>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44664351853" backgroundQuery="1" createdVersion="8" refreshedVersion="8" minRefreshableVersion="3" recordCount="0" supportSubquery="1" supportAdvancedDrill="1" xr:uid="{2D489ADE-99BC-43BF-AAE8-AB21A2E8894B}">
  <cacheSource type="external" connectionId="1"/>
  <cacheFields count="3">
    <cacheField name="[Measures].[Sum of Revenue 2]" caption="Sum of Revenue 2" numFmtId="0" hierarchy="12" level="32767"/>
    <cacheField name="[Table3].[Days].[Days]" caption="Days" numFmtId="0" hierarchy="2" level="1">
      <sharedItems count="7">
        <s v="Friday"/>
        <s v="Monday"/>
        <s v="Saturday"/>
        <s v="Sunday"/>
        <s v="Thursday"/>
        <s v="Tuesday"/>
        <s v="Wednesday"/>
      </sharedItems>
    </cacheField>
    <cacheField name="[Table3].[Product].[Product]" caption="Product" numFmtId="0" hierarchy="5" level="1">
      <sharedItems containsSemiMixedTypes="0" containsNonDate="0" containsString="0"/>
    </cacheField>
  </cacheFields>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2"/>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972502199074" backgroundQuery="1" createdVersion="3" refreshedVersion="8" minRefreshableVersion="3" recordCount="0" supportSubquery="1" supportAdvancedDrill="1" xr:uid="{143CE747-7AFC-4E00-8135-006E6BC74B9F}">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3].[OrderID]" caption="OrderID" attribute="1" defaultMemberUniqueName="[Table3].[OrderID].[All]" allUniqueName="[Table3].[Order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Days]" caption="Days" attribute="1" defaultMemberUniqueName="[Table3].[Days].[All]" allUniqueName="[Table3].[Days].[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alesperson]" caption="Salesperson" attribute="1" defaultMemberUniqueName="[Table3].[Salesperson].[All]" allUniqueName="[Table3].[Salesperson].[All]" dimensionUniqueName="[Table3]" displayFolder="" count="0" memberValueDatatype="130" unbalanced="0"/>
    <cacheHierarchy uniqueName="[Table3].[Product]" caption="Product" attribute="1" defaultMemberUniqueName="[Table3].[Product].[All]" allUniqueName="[Table3].[Product].[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Unit Price]" caption="Unit Price" attribute="1" defaultMemberUniqueName="[Table3].[Unit Price].[All]" allUniqueName="[Table3].[Unit Price].[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Measures].[__XL_Count Table3]" caption="__XL_Count Table3" measure="1" displayFolder="" measureGroup="Table3" count="0" hidden="1"/>
    <cacheHierarchy uniqueName="[Measures].[__XL_Count of Models]" caption="__XL_Count of Models" measure="1" displayFolder="" count="0" hidden="1"/>
    <cacheHierarchy uniqueName="[Measures].[Sum of Revenue 2]" caption="Sum of Revenue 2" measure="1" displayFolder="" measureGroup="Table3"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3" count="0" hidden="1">
      <extLst>
        <ext xmlns:x15="http://schemas.microsoft.com/office/spreadsheetml/2010/11/main" uri="{B97F6D7D-B522-45F9-BDA1-12C45D357490}">
          <x15:cacheHierarchy aggregatedColumn="5"/>
        </ext>
      </extLst>
    </cacheHierarchy>
    <cacheHierarchy uniqueName="[Measures].[Sum of Quantity 2]" caption="Sum of Quantity 2" measure="1" displayFolder="" measureGroup="Table3" count="0" hidden="1">
      <extLst>
        <ext xmlns:x15="http://schemas.microsoft.com/office/spreadsheetml/2010/11/main" uri="{B97F6D7D-B522-45F9-BDA1-12C45D357490}">
          <x15:cacheHierarchy aggregatedColumn="7"/>
        </ext>
      </extLst>
    </cacheHierarchy>
    <cacheHierarchy uniqueName="[Measures].[Sum of OrderID 2]" caption="Sum of OrderID 2" measure="1" displayFolder="" measureGroup="Table3"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Table3"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licerData="1" pivotCacheId="15671801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2DF659-30C9-4E27-B1DD-61CAD8193A14}" name="PivotTable4" cacheId="6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Days">
  <location ref="M3:N11"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6"/>
  </dataFields>
  <formats count="2">
    <format dxfId="118">
      <pivotArea outline="0" collapsedLevelsAreSubtotals="1" fieldPosition="0"/>
    </format>
    <format dxfId="119">
      <pivotArea dataOnly="0" labelOnly="1" outline="0" axis="axisValues" fieldPosition="0"/>
    </format>
  </formats>
  <chartFormats count="4">
    <chartFormat chart="10" format="1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99763-23D9-4871-AD68-61A5E538E460}" name="PivotTable2" cacheId="6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K13:K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1"/>
  </dataFields>
  <formats count="2">
    <format dxfId="136">
      <pivotArea dataOnly="0" labelOnly="1" outline="0" axis="axisValues" fieldPosition="0"/>
    </format>
    <format dxfId="135">
      <pivotArea outline="0" collapsedLevelsAreSubtotals="1"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A8E04-0C87-4ABE-814D-98B18764EF6F}" name="PivotTable9" cacheId="6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E13:F1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 fld="0" baseField="0" baseItem="0" numFmtId="166"/>
  </dataFields>
  <formats count="2">
    <format dxfId="138">
      <pivotArea outline="0" collapsedLevelsAreSubtotals="1" fieldPosition="0"/>
    </format>
    <format dxfId="137">
      <pivotArea dataOnly="0" labelOnly="1" outline="0" axis="axisValues" fieldPosition="0"/>
    </format>
  </formats>
  <chartFormats count="15">
    <chartFormat chart="10"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 chart="27" format="7">
      <pivotArea type="data" outline="0" fieldPosition="0">
        <references count="2">
          <reference field="4294967294" count="1" selected="0">
            <x v="0"/>
          </reference>
          <reference field="1" count="1" selected="0">
            <x v="2"/>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1" count="1" selected="0">
            <x v="0"/>
          </reference>
        </references>
      </pivotArea>
    </chartFormat>
    <chartFormat chart="28" format="10">
      <pivotArea type="data" outline="0" fieldPosition="0">
        <references count="2">
          <reference field="4294967294" count="1" selected="0">
            <x v="0"/>
          </reference>
          <reference field="1" count="1" selected="0">
            <x v="1"/>
          </reference>
        </references>
      </pivotArea>
    </chartFormat>
    <chartFormat chart="28" format="11">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AC89A-E7A9-47AE-AB64-87916F4DF1B1}" name="PivotTable1" cacheId="6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I13:I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2">
    <format dxfId="140">
      <pivotArea outline="0" collapsedLevelsAreSubtotals="1" fieldPosition="0"/>
    </format>
    <format dxfId="139">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39E929-96EB-43E5-A735-157BEA1BD039}" name="PivotTable8" cacheId="6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Sales Persons">
  <location ref="E3:F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numFmtId="166"/>
  </dataFields>
  <formats count="2">
    <format dxfId="142">
      <pivotArea outline="0" collapsedLevelsAreSubtotals="1" fieldPosition="0"/>
    </format>
    <format dxfId="141">
      <pivotArea dataOnly="0" labelOnly="1" outline="0" axis="axisValues" fieldPosition="0"/>
    </format>
  </formats>
  <chartFormats count="5">
    <chartFormat chart="10" format="1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2"/>
          </reference>
        </references>
      </pivotArea>
    </chartFormat>
    <chartFormat chart="15" format="7">
      <pivotArea type="data" outline="0" fieldPosition="0">
        <references count="2">
          <reference field="4294967294" count="1" selected="0">
            <x v="0"/>
          </reference>
          <reference field="1" count="1" selected="0">
            <x v="3"/>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80150-1CD1-4020-8EF0-0962ABC92108}" name="PivotTable7" cacheId="6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Products">
  <location ref="A13:B1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numFmtId="166"/>
  </dataFields>
  <formats count="2">
    <format dxfId="144">
      <pivotArea outline="0" collapsedLevelsAreSubtotals="1" fieldPosition="0"/>
    </format>
    <format dxfId="143">
      <pivotArea dataOnly="0" labelOnly="1" outline="0" axis="axisValues" fieldPosition="0"/>
    </format>
  </formats>
  <chartFormats count="2">
    <chartFormat chart="10" format="1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DBFFD6-D150-49FF-91CE-3226C1ED2BDA}" name="PivotTable6" cacheId="6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Regions">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numFmtId="166"/>
  </dataFields>
  <formats count="2">
    <format dxfId="146">
      <pivotArea outline="0" collapsedLevelsAreSubtotals="1" fieldPosition="0"/>
    </format>
    <format dxfId="145">
      <pivotArea dataOnly="0" labelOnly="1" outline="0" axis="axisValues" fieldPosition="0"/>
    </format>
  </formats>
  <chartFormats count="5">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8F4378-D88C-4D4A-BCF5-3960F790FDF7}" name="PivotTable3" cacheId="6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I19:I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extLst>
        <ext xmlns:x15="http://schemas.microsoft.com/office/spreadsheetml/2010/11/main" uri="{FABC7310-3BB5-11E1-824E-6D434824019B}">
          <x15:dataField isCountDistinct="1"/>
        </ext>
      </extLst>
    </dataField>
  </dataFields>
  <formats count="2">
    <format dxfId="148">
      <pivotArea dataOnly="0" labelOnly="1" outline="0" axis="axisValues" fieldPosition="0"/>
    </format>
    <format dxfId="147">
      <pivotArea outline="0" collapsedLevelsAreSubtotals="1"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Chart &amp;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EB9C6DC-E42C-490F-96C8-5D788B38290C}" sourceName="[Table3].[Product]">
  <pivotTables>
    <pivotTable tabId="15" name="PivotTable6"/>
    <pivotTable tabId="15" name="PivotTable7"/>
    <pivotTable tabId="15" name="PivotTable8"/>
    <pivotTable tabId="15" name="PivotTable9"/>
    <pivotTable tabId="15" name="PivotTable1"/>
    <pivotTable tabId="15" name="PivotTable2"/>
    <pivotTable tabId="15" name="PivotTable3"/>
    <pivotTable tabId="15" name="PivotTable4"/>
  </pivotTables>
  <data>
    <olap pivotCacheId="1567180110">
      <levels count="2">
        <level uniqueName="[Table3].[Product].[(All)]" sourceCaption="(All)" count="0"/>
        <level uniqueName="[Table3].[Product].[Product]" sourceCaption="Product" count="5">
          <ranges>
            <range startItem="0">
              <i n="[Table3].[Product].&amp;[Chair]" c="Chair"/>
              <i n="[Table3].[Product].&amp;[Desk]" c="Desk"/>
              <i n="[Table3].[Product].&amp;[Laptop]" c="Laptop"/>
              <i n="[Table3].[Product].&amp;[Phone]" c="Phone"/>
              <i n="[Table3].[Product].&amp;[Printer]" c="Printer"/>
            </range>
          </ranges>
        </level>
      </levels>
      <selections count="1">
        <selection n="[Table3].[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C0E255E-2FC0-4260-9FB5-6249BEF7B41D}" sourceName="[Table3].[Region]">
  <pivotTables>
    <pivotTable tabId="15" name="PivotTable6"/>
    <pivotTable tabId="15" name="PivotTable7"/>
    <pivotTable tabId="15" name="PivotTable8"/>
    <pivotTable tabId="15" name="PivotTable9"/>
    <pivotTable tabId="15" name="PivotTable1"/>
    <pivotTable tabId="15" name="PivotTable2"/>
    <pivotTable tabId="15" name="PivotTable3"/>
    <pivotTable tabId="15" name="PivotTable4"/>
  </pivotTables>
  <data>
    <olap pivotCacheId="1567180110">
      <levels count="2">
        <level uniqueName="[Table3].[Region].[(All)]" sourceCaption="(All)" count="0"/>
        <level uniqueName="[Table3].[Region].[Region]" sourceCaption="Region" count="4">
          <ranges>
            <range startItem="0">
              <i n="[Table3].[Region].&amp;[East]" c="East"/>
              <i n="[Table3].[Region].&amp;[North]" c="North"/>
              <i n="[Table3].[Region].&amp;[South]" c="South"/>
              <i n="[Table3].[Region].&amp;[West]" c="West"/>
            </range>
          </ranges>
        </level>
      </levels>
      <selections count="1">
        <selection n="[Table3].[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BB834C2D-E3E6-4381-AD89-C20BBA85C35C}" sourceName="[Table3].[Salesperson]">
  <pivotTables>
    <pivotTable tabId="15" name="PivotTable6"/>
    <pivotTable tabId="15" name="PivotTable7"/>
    <pivotTable tabId="15" name="PivotTable8"/>
    <pivotTable tabId="15" name="PivotTable9"/>
    <pivotTable tabId="15" name="PivotTable1"/>
    <pivotTable tabId="15" name="PivotTable2"/>
    <pivotTable tabId="15" name="PivotTable3"/>
    <pivotTable tabId="15" name="PivotTable4"/>
  </pivotTables>
  <data>
    <olap pivotCacheId="1567180110">
      <levels count="2">
        <level uniqueName="[Table3].[Salesperson].[(All)]" sourceCaption="(All)" count="0"/>
        <level uniqueName="[Table3].[Salesperson].[Salesperson]" sourceCaption="Salesperson" count="4">
          <ranges>
            <range startItem="0">
              <i n="[Table3].[Salesperson].&amp;[David]" c="David"/>
              <i n="[Table3].[Salesperson].&amp;[John]" c="John"/>
              <i n="[Table3].[Salesperson].&amp;[Mary]" c="Mary"/>
              <i n="[Table3].[Salesperson].&amp;[Sarah]" c="Sarah"/>
            </range>
          </ranges>
        </level>
      </levels>
      <selections count="1">
        <selection n="[Table3].[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134729B-3859-4D09-9F93-5F99D309632D}" cache="Slicer_Product1" caption="Product" level="1" rowHeight="241300"/>
  <slicer name="Region 1" xr10:uid="{2DC28870-1B94-4716-9FDE-A8EA4CF4D4EB}" cache="Slicer_Region1" caption="Region" level="1" rowHeight="241300"/>
  <slicer name="Salesperson 1" xr10:uid="{4A2CF4F2-D947-4511-A893-D76810E041F8}" cache="Slicer_Salesperson1" caption="Salespers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03695C-EB3E-4C64-8A5A-4FC25DF05D65}" name="Table3" displayName="Table3" ref="A1:J13" totalsRowShown="0" headerRowDxfId="134" dataDxfId="132" headerRowBorderDxfId="133" tableBorderDxfId="131" totalsRowBorderDxfId="130">
  <autoFilter ref="A1:J13" xr:uid="{4203695C-EB3E-4C64-8A5A-4FC25DF05D65}"/>
  <tableColumns count="10">
    <tableColumn id="1" xr3:uid="{8DE37F30-CA1D-4BE5-B449-08F9BF8115EA}" name="OrderID" dataDxfId="129"/>
    <tableColumn id="2" xr3:uid="{85816BF0-79E2-449E-B7FE-00AEDE7F1E86}" name="Date" dataDxfId="128"/>
    <tableColumn id="10" xr3:uid="{EEDC1C6E-4A7A-4893-A915-F0E3BA593740}" name="Days" dataDxfId="127">
      <calculatedColumnFormula>TEXT(B2,"dddd")</calculatedColumnFormula>
    </tableColumn>
    <tableColumn id="3" xr3:uid="{37167701-C3FE-487D-BE09-B37564FB7FD3}" name="Region" dataDxfId="126"/>
    <tableColumn id="4" xr3:uid="{1630F210-BD30-4661-9837-6C8B6230A35E}" name="Salesperson" dataDxfId="125"/>
    <tableColumn id="5" xr3:uid="{18740C72-C029-43E1-B496-C5F1CC56025B}" name="Product" dataDxfId="124"/>
    <tableColumn id="6" xr3:uid="{5787D64C-3507-41E3-9BB8-49F7C658D5C4}" name="Category" dataDxfId="123"/>
    <tableColumn id="7" xr3:uid="{8FAE4327-3B63-4348-8670-507503807BB2}" name="Quantity" dataDxfId="122"/>
    <tableColumn id="8" xr3:uid="{3A3D514E-4399-4B96-B6B3-E70B59D4A9B3}" name="Unit Price" dataDxfId="121"/>
    <tableColumn id="9" xr3:uid="{75745139-2742-4675-90BA-D1F4D586B163}" name="Revenue" dataDxfId="12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workbookViewId="0">
      <selection activeCell="N11" sqref="N11"/>
    </sheetView>
  </sheetViews>
  <sheetFormatPr defaultRowHeight="15" x14ac:dyDescent="0.25"/>
  <sheetData>
    <row r="1" spans="1:9" ht="30" x14ac:dyDescent="0.25">
      <c r="A1" s="1" t="s">
        <v>4</v>
      </c>
      <c r="B1" s="1" t="s">
        <v>5</v>
      </c>
      <c r="C1" s="1" t="s">
        <v>0</v>
      </c>
      <c r="D1" s="1" t="s">
        <v>6</v>
      </c>
      <c r="E1" s="1" t="s">
        <v>7</v>
      </c>
      <c r="F1" s="1" t="s">
        <v>8</v>
      </c>
      <c r="G1" s="1" t="s">
        <v>9</v>
      </c>
      <c r="H1" s="1" t="s">
        <v>10</v>
      </c>
      <c r="I1" s="1" t="s">
        <v>11</v>
      </c>
    </row>
    <row r="2" spans="1:9" ht="30" x14ac:dyDescent="0.25">
      <c r="A2" s="2">
        <v>1001</v>
      </c>
      <c r="B2" s="3">
        <v>46027</v>
      </c>
      <c r="C2" s="2" t="s">
        <v>1</v>
      </c>
      <c r="D2" s="2" t="s">
        <v>12</v>
      </c>
      <c r="E2" s="2" t="s">
        <v>13</v>
      </c>
      <c r="F2" s="2" t="s">
        <v>14</v>
      </c>
      <c r="G2" s="2">
        <v>2</v>
      </c>
      <c r="H2" s="2">
        <v>800</v>
      </c>
      <c r="I2" s="2">
        <v>1600</v>
      </c>
    </row>
    <row r="3" spans="1:9" ht="30" x14ac:dyDescent="0.25">
      <c r="A3" s="2">
        <v>1002</v>
      </c>
      <c r="B3" s="3">
        <v>46029</v>
      </c>
      <c r="C3" s="2" t="s">
        <v>15</v>
      </c>
      <c r="D3" s="2" t="s">
        <v>16</v>
      </c>
      <c r="E3" s="2" t="s">
        <v>17</v>
      </c>
      <c r="F3" s="2" t="s">
        <v>14</v>
      </c>
      <c r="G3" s="2">
        <v>3</v>
      </c>
      <c r="H3" s="2">
        <v>500</v>
      </c>
      <c r="I3" s="2">
        <v>1500</v>
      </c>
    </row>
    <row r="4" spans="1:9" x14ac:dyDescent="0.25">
      <c r="A4" s="2">
        <v>1003</v>
      </c>
      <c r="B4" s="3">
        <v>46031</v>
      </c>
      <c r="C4" s="2" t="s">
        <v>2</v>
      </c>
      <c r="D4" s="2" t="s">
        <v>18</v>
      </c>
      <c r="E4" s="2" t="s">
        <v>19</v>
      </c>
      <c r="F4" s="2" t="s">
        <v>20</v>
      </c>
      <c r="G4" s="2">
        <v>1</v>
      </c>
      <c r="H4" s="2">
        <v>300</v>
      </c>
      <c r="I4" s="2">
        <v>300</v>
      </c>
    </row>
    <row r="5" spans="1:9" ht="30" x14ac:dyDescent="0.25">
      <c r="A5" s="2">
        <v>1004</v>
      </c>
      <c r="B5" s="3">
        <v>46032</v>
      </c>
      <c r="C5" s="2" t="s">
        <v>21</v>
      </c>
      <c r="D5" s="2" t="s">
        <v>22</v>
      </c>
      <c r="E5" s="2" t="s">
        <v>13</v>
      </c>
      <c r="F5" s="2" t="s">
        <v>14</v>
      </c>
      <c r="G5" s="2">
        <v>1</v>
      </c>
      <c r="H5" s="2">
        <v>800</v>
      </c>
      <c r="I5" s="2">
        <v>800</v>
      </c>
    </row>
    <row r="6" spans="1:9" ht="30" x14ac:dyDescent="0.25">
      <c r="A6" s="2">
        <v>1005</v>
      </c>
      <c r="B6" s="3">
        <v>46034</v>
      </c>
      <c r="C6" s="2" t="s">
        <v>1</v>
      </c>
      <c r="D6" s="2" t="s">
        <v>12</v>
      </c>
      <c r="E6" s="2" t="s">
        <v>23</v>
      </c>
      <c r="F6" s="2" t="s">
        <v>24</v>
      </c>
      <c r="G6" s="2">
        <v>2</v>
      </c>
      <c r="H6" s="2">
        <v>200</v>
      </c>
      <c r="I6" s="2">
        <v>400</v>
      </c>
    </row>
    <row r="7" spans="1:9" ht="30" x14ac:dyDescent="0.25">
      <c r="A7" s="2">
        <v>1006</v>
      </c>
      <c r="B7" s="3">
        <v>46036</v>
      </c>
      <c r="C7" s="2" t="s">
        <v>15</v>
      </c>
      <c r="D7" s="2" t="s">
        <v>16</v>
      </c>
      <c r="E7" s="2" t="s">
        <v>25</v>
      </c>
      <c r="F7" s="2" t="s">
        <v>24</v>
      </c>
      <c r="G7" s="2">
        <v>4</v>
      </c>
      <c r="H7" s="2">
        <v>120</v>
      </c>
      <c r="I7" s="2">
        <v>480</v>
      </c>
    </row>
    <row r="8" spans="1:9" ht="30" x14ac:dyDescent="0.25">
      <c r="A8" s="2">
        <v>1007</v>
      </c>
      <c r="B8" s="3">
        <v>46037</v>
      </c>
      <c r="C8" s="2" t="s">
        <v>2</v>
      </c>
      <c r="D8" s="2" t="s">
        <v>18</v>
      </c>
      <c r="E8" s="2" t="s">
        <v>17</v>
      </c>
      <c r="F8" s="2" t="s">
        <v>14</v>
      </c>
      <c r="G8" s="2">
        <v>2</v>
      </c>
      <c r="H8" s="2">
        <v>500</v>
      </c>
      <c r="I8" s="2">
        <v>1000</v>
      </c>
    </row>
    <row r="9" spans="1:9" x14ac:dyDescent="0.25">
      <c r="A9" s="2">
        <v>1008</v>
      </c>
      <c r="B9" s="3">
        <v>46039</v>
      </c>
      <c r="C9" s="2" t="s">
        <v>21</v>
      </c>
      <c r="D9" s="2" t="s">
        <v>22</v>
      </c>
      <c r="E9" s="2" t="s">
        <v>19</v>
      </c>
      <c r="F9" s="2" t="s">
        <v>20</v>
      </c>
      <c r="G9" s="2">
        <v>2</v>
      </c>
      <c r="H9" s="2">
        <v>300</v>
      </c>
      <c r="I9" s="2">
        <v>600</v>
      </c>
    </row>
    <row r="10" spans="1:9" ht="30" x14ac:dyDescent="0.25">
      <c r="A10" s="2">
        <v>1009</v>
      </c>
      <c r="B10" s="3">
        <v>46042</v>
      </c>
      <c r="C10" s="2" t="s">
        <v>1</v>
      </c>
      <c r="D10" s="2" t="s">
        <v>12</v>
      </c>
      <c r="E10" s="2" t="s">
        <v>13</v>
      </c>
      <c r="F10" s="2" t="s">
        <v>14</v>
      </c>
      <c r="G10" s="2">
        <v>1</v>
      </c>
      <c r="H10" s="2">
        <v>800</v>
      </c>
      <c r="I10" s="2">
        <v>800</v>
      </c>
    </row>
    <row r="11" spans="1:9" ht="30" x14ac:dyDescent="0.25">
      <c r="A11" s="2">
        <v>1010</v>
      </c>
      <c r="B11" s="3">
        <v>46044</v>
      </c>
      <c r="C11" s="2" t="s">
        <v>15</v>
      </c>
      <c r="D11" s="2" t="s">
        <v>16</v>
      </c>
      <c r="E11" s="2" t="s">
        <v>23</v>
      </c>
      <c r="F11" s="2" t="s">
        <v>24</v>
      </c>
      <c r="G11" s="2">
        <v>3</v>
      </c>
      <c r="H11" s="2">
        <v>200</v>
      </c>
      <c r="I11" s="2">
        <v>600</v>
      </c>
    </row>
    <row r="12" spans="1:9" ht="30" x14ac:dyDescent="0.25">
      <c r="A12" s="2">
        <v>1011</v>
      </c>
      <c r="B12" s="3">
        <v>46047</v>
      </c>
      <c r="C12" s="2" t="s">
        <v>2</v>
      </c>
      <c r="D12" s="2" t="s">
        <v>18</v>
      </c>
      <c r="E12" s="2" t="s">
        <v>25</v>
      </c>
      <c r="F12" s="2" t="s">
        <v>24</v>
      </c>
      <c r="G12" s="2">
        <v>2</v>
      </c>
      <c r="H12" s="2">
        <v>120</v>
      </c>
      <c r="I12" s="2">
        <v>240</v>
      </c>
    </row>
    <row r="13" spans="1:9" ht="30" x14ac:dyDescent="0.25">
      <c r="A13" s="2">
        <v>1012</v>
      </c>
      <c r="B13" s="3">
        <v>46050</v>
      </c>
      <c r="C13" s="2" t="s">
        <v>21</v>
      </c>
      <c r="D13" s="2" t="s">
        <v>22</v>
      </c>
      <c r="E13" s="2" t="s">
        <v>17</v>
      </c>
      <c r="F13" s="2" t="s">
        <v>14</v>
      </c>
      <c r="G13" s="2">
        <v>2</v>
      </c>
      <c r="H13" s="2">
        <v>500</v>
      </c>
      <c r="I13" s="2">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A332-8774-4B25-839F-109C402A7794}">
  <dimension ref="A1:J13"/>
  <sheetViews>
    <sheetView workbookViewId="0">
      <selection activeCell="F22" sqref="F22"/>
    </sheetView>
  </sheetViews>
  <sheetFormatPr defaultRowHeight="15" x14ac:dyDescent="0.25"/>
  <cols>
    <col min="1" max="1" width="10.140625" customWidth="1"/>
    <col min="2" max="3" width="13.42578125" customWidth="1"/>
    <col min="4" max="4" width="18.5703125" customWidth="1"/>
    <col min="5" max="5" width="13.85546875" customWidth="1"/>
    <col min="6" max="6" width="15.28515625" customWidth="1"/>
    <col min="7" max="7" width="14.85546875" customWidth="1"/>
    <col min="8" max="8" width="15.42578125" customWidth="1"/>
    <col min="9" max="9" width="18" style="20" customWidth="1"/>
    <col min="10" max="10" width="15" style="20" customWidth="1"/>
  </cols>
  <sheetData>
    <row r="1" spans="1:10" x14ac:dyDescent="0.25">
      <c r="A1" s="9" t="s">
        <v>4</v>
      </c>
      <c r="B1" s="10" t="s">
        <v>5</v>
      </c>
      <c r="C1" s="10" t="s">
        <v>30</v>
      </c>
      <c r="D1" s="10" t="s">
        <v>0</v>
      </c>
      <c r="E1" s="10" t="s">
        <v>6</v>
      </c>
      <c r="F1" s="10" t="s">
        <v>7</v>
      </c>
      <c r="G1" s="10" t="s">
        <v>8</v>
      </c>
      <c r="H1" s="10" t="s">
        <v>9</v>
      </c>
      <c r="I1" s="17" t="s">
        <v>10</v>
      </c>
      <c r="J1" s="21" t="s">
        <v>11</v>
      </c>
    </row>
    <row r="2" spans="1:10" x14ac:dyDescent="0.25">
      <c r="A2" s="11">
        <v>1001</v>
      </c>
      <c r="B2" s="12">
        <v>46027</v>
      </c>
      <c r="C2" s="12" t="str">
        <f t="shared" ref="C2:C13" si="0">TEXT(B2,"dddd")</f>
        <v>Monday</v>
      </c>
      <c r="D2" s="13" t="s">
        <v>1</v>
      </c>
      <c r="E2" s="13" t="s">
        <v>12</v>
      </c>
      <c r="F2" s="13" t="s">
        <v>13</v>
      </c>
      <c r="G2" s="13" t="s">
        <v>14</v>
      </c>
      <c r="H2" s="13">
        <v>2</v>
      </c>
      <c r="I2" s="18">
        <v>800</v>
      </c>
      <c r="J2" s="22">
        <v>1600</v>
      </c>
    </row>
    <row r="3" spans="1:10" x14ac:dyDescent="0.25">
      <c r="A3" s="11">
        <v>1002</v>
      </c>
      <c r="B3" s="12">
        <v>46029</v>
      </c>
      <c r="C3" s="12" t="str">
        <f t="shared" si="0"/>
        <v>Wednesday</v>
      </c>
      <c r="D3" s="13" t="s">
        <v>15</v>
      </c>
      <c r="E3" s="13" t="s">
        <v>16</v>
      </c>
      <c r="F3" s="13" t="s">
        <v>17</v>
      </c>
      <c r="G3" s="13" t="s">
        <v>14</v>
      </c>
      <c r="H3" s="13">
        <v>3</v>
      </c>
      <c r="I3" s="18">
        <v>500</v>
      </c>
      <c r="J3" s="22">
        <v>1500</v>
      </c>
    </row>
    <row r="4" spans="1:10" x14ac:dyDescent="0.25">
      <c r="A4" s="11">
        <v>1003</v>
      </c>
      <c r="B4" s="12">
        <v>46031</v>
      </c>
      <c r="C4" s="12" t="str">
        <f t="shared" si="0"/>
        <v>Friday</v>
      </c>
      <c r="D4" s="13" t="s">
        <v>2</v>
      </c>
      <c r="E4" s="13" t="s">
        <v>18</v>
      </c>
      <c r="F4" s="13" t="s">
        <v>19</v>
      </c>
      <c r="G4" s="13" t="s">
        <v>20</v>
      </c>
      <c r="H4" s="13">
        <v>1</v>
      </c>
      <c r="I4" s="18">
        <v>300</v>
      </c>
      <c r="J4" s="22">
        <v>300</v>
      </c>
    </row>
    <row r="5" spans="1:10" x14ac:dyDescent="0.25">
      <c r="A5" s="11">
        <v>1004</v>
      </c>
      <c r="B5" s="12">
        <v>46032</v>
      </c>
      <c r="C5" s="12" t="str">
        <f t="shared" si="0"/>
        <v>Saturday</v>
      </c>
      <c r="D5" s="13" t="s">
        <v>21</v>
      </c>
      <c r="E5" s="13" t="s">
        <v>22</v>
      </c>
      <c r="F5" s="13" t="s">
        <v>13</v>
      </c>
      <c r="G5" s="13" t="s">
        <v>14</v>
      </c>
      <c r="H5" s="13">
        <v>1</v>
      </c>
      <c r="I5" s="18">
        <v>800</v>
      </c>
      <c r="J5" s="22">
        <v>800</v>
      </c>
    </row>
    <row r="6" spans="1:10" x14ac:dyDescent="0.25">
      <c r="A6" s="11">
        <v>1005</v>
      </c>
      <c r="B6" s="12">
        <v>46034</v>
      </c>
      <c r="C6" s="12" t="str">
        <f t="shared" si="0"/>
        <v>Monday</v>
      </c>
      <c r="D6" s="13" t="s">
        <v>1</v>
      </c>
      <c r="E6" s="13" t="s">
        <v>12</v>
      </c>
      <c r="F6" s="13" t="s">
        <v>23</v>
      </c>
      <c r="G6" s="13" t="s">
        <v>24</v>
      </c>
      <c r="H6" s="13">
        <v>2</v>
      </c>
      <c r="I6" s="18">
        <v>200</v>
      </c>
      <c r="J6" s="22">
        <v>400</v>
      </c>
    </row>
    <row r="7" spans="1:10" x14ac:dyDescent="0.25">
      <c r="A7" s="11">
        <v>1006</v>
      </c>
      <c r="B7" s="12">
        <v>46036</v>
      </c>
      <c r="C7" s="12" t="str">
        <f t="shared" si="0"/>
        <v>Wednesday</v>
      </c>
      <c r="D7" s="13" t="s">
        <v>15</v>
      </c>
      <c r="E7" s="13" t="s">
        <v>16</v>
      </c>
      <c r="F7" s="13" t="s">
        <v>25</v>
      </c>
      <c r="G7" s="13" t="s">
        <v>24</v>
      </c>
      <c r="H7" s="13">
        <v>4</v>
      </c>
      <c r="I7" s="18">
        <v>120</v>
      </c>
      <c r="J7" s="22">
        <v>480</v>
      </c>
    </row>
    <row r="8" spans="1:10" x14ac:dyDescent="0.25">
      <c r="A8" s="11">
        <v>1007</v>
      </c>
      <c r="B8" s="12">
        <v>46037</v>
      </c>
      <c r="C8" s="12" t="str">
        <f t="shared" si="0"/>
        <v>Thursday</v>
      </c>
      <c r="D8" s="13" t="s">
        <v>2</v>
      </c>
      <c r="E8" s="13" t="s">
        <v>18</v>
      </c>
      <c r="F8" s="13" t="s">
        <v>17</v>
      </c>
      <c r="G8" s="13" t="s">
        <v>14</v>
      </c>
      <c r="H8" s="13">
        <v>2</v>
      </c>
      <c r="I8" s="18">
        <v>500</v>
      </c>
      <c r="J8" s="22">
        <v>1000</v>
      </c>
    </row>
    <row r="9" spans="1:10" x14ac:dyDescent="0.25">
      <c r="A9" s="11">
        <v>1008</v>
      </c>
      <c r="B9" s="12">
        <v>46039</v>
      </c>
      <c r="C9" s="12" t="str">
        <f t="shared" si="0"/>
        <v>Saturday</v>
      </c>
      <c r="D9" s="13" t="s">
        <v>21</v>
      </c>
      <c r="E9" s="13" t="s">
        <v>22</v>
      </c>
      <c r="F9" s="13" t="s">
        <v>19</v>
      </c>
      <c r="G9" s="13" t="s">
        <v>20</v>
      </c>
      <c r="H9" s="13">
        <v>2</v>
      </c>
      <c r="I9" s="18">
        <v>300</v>
      </c>
      <c r="J9" s="22">
        <v>600</v>
      </c>
    </row>
    <row r="10" spans="1:10" x14ac:dyDescent="0.25">
      <c r="A10" s="11">
        <v>1009</v>
      </c>
      <c r="B10" s="12">
        <v>46042</v>
      </c>
      <c r="C10" s="12" t="str">
        <f t="shared" si="0"/>
        <v>Tuesday</v>
      </c>
      <c r="D10" s="13" t="s">
        <v>1</v>
      </c>
      <c r="E10" s="13" t="s">
        <v>12</v>
      </c>
      <c r="F10" s="13" t="s">
        <v>13</v>
      </c>
      <c r="G10" s="13" t="s">
        <v>14</v>
      </c>
      <c r="H10" s="13">
        <v>1</v>
      </c>
      <c r="I10" s="18">
        <v>800</v>
      </c>
      <c r="J10" s="22">
        <v>800</v>
      </c>
    </row>
    <row r="11" spans="1:10" x14ac:dyDescent="0.25">
      <c r="A11" s="11">
        <v>1010</v>
      </c>
      <c r="B11" s="12">
        <v>46044</v>
      </c>
      <c r="C11" s="12" t="str">
        <f t="shared" si="0"/>
        <v>Thursday</v>
      </c>
      <c r="D11" s="13" t="s">
        <v>15</v>
      </c>
      <c r="E11" s="13" t="s">
        <v>16</v>
      </c>
      <c r="F11" s="13" t="s">
        <v>23</v>
      </c>
      <c r="G11" s="13" t="s">
        <v>24</v>
      </c>
      <c r="H11" s="13">
        <v>3</v>
      </c>
      <c r="I11" s="18">
        <v>200</v>
      </c>
      <c r="J11" s="22">
        <v>600</v>
      </c>
    </row>
    <row r="12" spans="1:10" x14ac:dyDescent="0.25">
      <c r="A12" s="11">
        <v>1011</v>
      </c>
      <c r="B12" s="12">
        <v>46047</v>
      </c>
      <c r="C12" s="12" t="str">
        <f t="shared" si="0"/>
        <v>Sunday</v>
      </c>
      <c r="D12" s="13" t="s">
        <v>2</v>
      </c>
      <c r="E12" s="13" t="s">
        <v>18</v>
      </c>
      <c r="F12" s="13" t="s">
        <v>25</v>
      </c>
      <c r="G12" s="13" t="s">
        <v>24</v>
      </c>
      <c r="H12" s="13">
        <v>2</v>
      </c>
      <c r="I12" s="18">
        <v>120</v>
      </c>
      <c r="J12" s="22">
        <v>240</v>
      </c>
    </row>
    <row r="13" spans="1:10" x14ac:dyDescent="0.25">
      <c r="A13" s="14">
        <v>1012</v>
      </c>
      <c r="B13" s="15">
        <v>46050</v>
      </c>
      <c r="C13" s="15" t="str">
        <f t="shared" si="0"/>
        <v>Wednesday</v>
      </c>
      <c r="D13" s="16" t="s">
        <v>21</v>
      </c>
      <c r="E13" s="16" t="s">
        <v>22</v>
      </c>
      <c r="F13" s="16" t="s">
        <v>17</v>
      </c>
      <c r="G13" s="16" t="s">
        <v>14</v>
      </c>
      <c r="H13" s="16">
        <v>2</v>
      </c>
      <c r="I13" s="19">
        <v>500</v>
      </c>
      <c r="J13" s="23">
        <v>1000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AF2C-8C2D-49D9-9610-F80AE55609EF}">
  <dimension ref="A2:N21"/>
  <sheetViews>
    <sheetView workbookViewId="0">
      <selection activeCell="M17" sqref="M17"/>
    </sheetView>
  </sheetViews>
  <sheetFormatPr defaultRowHeight="15" x14ac:dyDescent="0.25"/>
  <cols>
    <col min="1" max="1" width="11.28515625" bestFit="1" customWidth="1"/>
    <col min="2" max="2" width="15.5703125" style="20" bestFit="1" customWidth="1"/>
    <col min="5" max="5" width="11.28515625" bestFit="1" customWidth="1"/>
    <col min="6" max="6" width="15.5703125" bestFit="1" customWidth="1"/>
    <col min="7" max="7" width="6.5703125" customWidth="1"/>
    <col min="8" max="8" width="6.5703125" bestFit="1" customWidth="1"/>
    <col min="9" max="9" width="11" bestFit="1" customWidth="1"/>
    <col min="10" max="10" width="15.5703125" bestFit="1" customWidth="1"/>
    <col min="11" max="11" width="15.42578125" bestFit="1" customWidth="1"/>
    <col min="13" max="13" width="11.42578125" bestFit="1" customWidth="1"/>
    <col min="14" max="14" width="15.5703125" bestFit="1" customWidth="1"/>
  </cols>
  <sheetData>
    <row r="2" spans="1:14" ht="18.75" x14ac:dyDescent="0.3">
      <c r="A2" s="6" t="s">
        <v>33</v>
      </c>
      <c r="E2" s="6" t="s">
        <v>35</v>
      </c>
      <c r="F2" s="20"/>
      <c r="M2" t="s">
        <v>40</v>
      </c>
    </row>
    <row r="3" spans="1:14" x14ac:dyDescent="0.25">
      <c r="A3" s="4" t="s">
        <v>28</v>
      </c>
      <c r="B3" s="20" t="s">
        <v>26</v>
      </c>
      <c r="E3" s="4" t="s">
        <v>36</v>
      </c>
      <c r="F3" s="20" t="s">
        <v>26</v>
      </c>
      <c r="I3" s="24" t="s">
        <v>3</v>
      </c>
      <c r="J3" s="20">
        <f>SUM('Cleaned Data set'!J2:J13)</f>
        <v>9320</v>
      </c>
      <c r="M3" s="4" t="s">
        <v>30</v>
      </c>
      <c r="N3" s="20" t="s">
        <v>26</v>
      </c>
    </row>
    <row r="4" spans="1:14" x14ac:dyDescent="0.25">
      <c r="A4" s="5" t="s">
        <v>21</v>
      </c>
      <c r="B4" s="20">
        <v>2400</v>
      </c>
      <c r="E4" s="5" t="s">
        <v>18</v>
      </c>
      <c r="F4" s="20">
        <v>1540</v>
      </c>
      <c r="I4" s="24" t="s">
        <v>39</v>
      </c>
      <c r="J4" s="8">
        <f>SUM(Table3[Quantity])</f>
        <v>25</v>
      </c>
      <c r="M4" s="5" t="s">
        <v>44</v>
      </c>
      <c r="N4" s="20">
        <v>240</v>
      </c>
    </row>
    <row r="5" spans="1:14" x14ac:dyDescent="0.25">
      <c r="A5" s="5" t="s">
        <v>1</v>
      </c>
      <c r="B5" s="20">
        <v>2800</v>
      </c>
      <c r="E5" s="5" t="s">
        <v>12</v>
      </c>
      <c r="F5" s="20">
        <v>2800</v>
      </c>
      <c r="I5" s="24" t="s">
        <v>38</v>
      </c>
      <c r="J5" s="8">
        <f>COUNT(Table3[OrderID])</f>
        <v>12</v>
      </c>
      <c r="M5" s="5" t="s">
        <v>42</v>
      </c>
      <c r="N5" s="20">
        <v>2000</v>
      </c>
    </row>
    <row r="6" spans="1:14" x14ac:dyDescent="0.25">
      <c r="A6" s="5" t="s">
        <v>2</v>
      </c>
      <c r="B6" s="20">
        <v>1540</v>
      </c>
      <c r="E6" s="5" t="s">
        <v>16</v>
      </c>
      <c r="F6" s="20">
        <v>2580</v>
      </c>
      <c r="M6" s="5" t="s">
        <v>46</v>
      </c>
      <c r="N6" s="20">
        <v>800</v>
      </c>
    </row>
    <row r="7" spans="1:14" x14ac:dyDescent="0.25">
      <c r="A7" s="5" t="s">
        <v>15</v>
      </c>
      <c r="B7" s="20">
        <v>2580</v>
      </c>
      <c r="E7" s="5" t="s">
        <v>22</v>
      </c>
      <c r="F7" s="20">
        <v>2400</v>
      </c>
      <c r="M7" s="5" t="s">
        <v>47</v>
      </c>
      <c r="N7" s="20">
        <v>2980</v>
      </c>
    </row>
    <row r="8" spans="1:14" x14ac:dyDescent="0.25">
      <c r="A8" s="5" t="s">
        <v>27</v>
      </c>
      <c r="B8" s="20">
        <v>9320</v>
      </c>
      <c r="E8" s="5" t="s">
        <v>27</v>
      </c>
      <c r="F8" s="20">
        <v>9320</v>
      </c>
      <c r="M8" s="5" t="s">
        <v>45</v>
      </c>
      <c r="N8" s="20">
        <v>1600</v>
      </c>
    </row>
    <row r="9" spans="1:14" x14ac:dyDescent="0.25">
      <c r="M9" s="5" t="s">
        <v>41</v>
      </c>
      <c r="N9" s="20">
        <v>300</v>
      </c>
    </row>
    <row r="10" spans="1:14" x14ac:dyDescent="0.25">
      <c r="M10" s="5" t="s">
        <v>43</v>
      </c>
      <c r="N10" s="20">
        <v>1400</v>
      </c>
    </row>
    <row r="11" spans="1:14" x14ac:dyDescent="0.25">
      <c r="M11" s="5" t="s">
        <v>27</v>
      </c>
      <c r="N11" s="20">
        <v>9320</v>
      </c>
    </row>
    <row r="12" spans="1:14" ht="18.75" x14ac:dyDescent="0.3">
      <c r="A12" s="6" t="s">
        <v>34</v>
      </c>
      <c r="E12" s="6" t="s">
        <v>37</v>
      </c>
      <c r="F12" s="20"/>
      <c r="I12" s="6"/>
      <c r="J12" s="20"/>
    </row>
    <row r="13" spans="1:14" x14ac:dyDescent="0.25">
      <c r="A13" s="4" t="s">
        <v>29</v>
      </c>
      <c r="B13" s="20" t="s">
        <v>26</v>
      </c>
      <c r="E13" s="4" t="s">
        <v>8</v>
      </c>
      <c r="F13" s="20" t="s">
        <v>26</v>
      </c>
      <c r="I13" s="20" t="s">
        <v>26</v>
      </c>
      <c r="K13" s="20" t="s">
        <v>31</v>
      </c>
    </row>
    <row r="14" spans="1:14" x14ac:dyDescent="0.25">
      <c r="A14" s="5" t="s">
        <v>25</v>
      </c>
      <c r="B14" s="20">
        <v>720</v>
      </c>
      <c r="E14" s="5" t="s">
        <v>14</v>
      </c>
      <c r="F14" s="20">
        <v>6700</v>
      </c>
      <c r="I14" s="20">
        <v>9320</v>
      </c>
      <c r="K14" s="8">
        <v>25</v>
      </c>
    </row>
    <row r="15" spans="1:14" x14ac:dyDescent="0.25">
      <c r="A15" s="5" t="s">
        <v>23</v>
      </c>
      <c r="B15" s="20">
        <v>1000</v>
      </c>
      <c r="E15" s="5" t="s">
        <v>24</v>
      </c>
      <c r="F15" s="20">
        <v>1720</v>
      </c>
      <c r="I15" s="26">
        <f>GETPIVOTDATA("[Measures].[Sum of Revenue 2]",$I$13)</f>
        <v>9320</v>
      </c>
      <c r="K15">
        <f>GETPIVOTDATA("[Measures].[Sum of Quantity 2]",$K$13)</f>
        <v>25</v>
      </c>
    </row>
    <row r="16" spans="1:14" x14ac:dyDescent="0.25">
      <c r="A16" s="5" t="s">
        <v>13</v>
      </c>
      <c r="B16" s="20">
        <v>3200</v>
      </c>
      <c r="E16" s="5" t="s">
        <v>20</v>
      </c>
      <c r="F16" s="20">
        <v>900</v>
      </c>
    </row>
    <row r="17" spans="1:9" x14ac:dyDescent="0.25">
      <c r="A17" s="5" t="s">
        <v>17</v>
      </c>
      <c r="B17" s="20">
        <v>3500</v>
      </c>
      <c r="E17" s="5" t="s">
        <v>27</v>
      </c>
      <c r="F17" s="20">
        <v>9320</v>
      </c>
    </row>
    <row r="18" spans="1:9" x14ac:dyDescent="0.25">
      <c r="A18" s="5" t="s">
        <v>19</v>
      </c>
      <c r="B18" s="20">
        <v>900</v>
      </c>
    </row>
    <row r="19" spans="1:9" x14ac:dyDescent="0.25">
      <c r="A19" s="5" t="s">
        <v>27</v>
      </c>
      <c r="B19" s="20">
        <v>9320</v>
      </c>
      <c r="I19" s="20" t="s">
        <v>32</v>
      </c>
    </row>
    <row r="20" spans="1:9" x14ac:dyDescent="0.25">
      <c r="I20" s="8">
        <v>12</v>
      </c>
    </row>
    <row r="21" spans="1:9" x14ac:dyDescent="0.25">
      <c r="I21">
        <f>GETPIVOTDATA("[Measures].[Distinct Count of OrderID 2]",$I$19)</f>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AFF4-4AF3-4678-AE4D-DD49A4F44217}">
  <dimension ref="Q2:S24"/>
  <sheetViews>
    <sheetView tabSelected="1" topLeftCell="B1" zoomScale="72" zoomScaleNormal="72" workbookViewId="0">
      <selection activeCell="P1" sqref="P1"/>
    </sheetView>
  </sheetViews>
  <sheetFormatPr defaultRowHeight="15" x14ac:dyDescent="0.25"/>
  <cols>
    <col min="1" max="5" width="9.140625" style="7"/>
    <col min="6" max="6" width="12.42578125" style="7" customWidth="1"/>
    <col min="7" max="7" width="9.140625" style="7"/>
    <col min="8" max="8" width="16.85546875" style="7" customWidth="1"/>
    <col min="9" max="9" width="21.5703125" style="7" customWidth="1"/>
    <col min="10" max="12" width="9.140625" style="7"/>
    <col min="13" max="13" width="9.28515625" style="7" customWidth="1"/>
    <col min="14" max="14" width="9.140625" style="7"/>
    <col min="15" max="15" width="7.28515625" style="7" customWidth="1"/>
    <col min="16" max="16384" width="9.140625" style="7"/>
  </cols>
  <sheetData>
    <row r="2" spans="17:17" ht="12" customHeight="1" x14ac:dyDescent="0.25"/>
    <row r="11" spans="17:17" x14ac:dyDescent="0.25">
      <c r="Q11" s="25"/>
    </row>
    <row r="24" spans="19:19" x14ac:dyDescent="0.25">
      <c r="S24"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Dataset</vt:lpstr>
      <vt:lpstr>Cleaned Data set</vt:lpstr>
      <vt:lpstr>Pivort Chart</vt:lpstr>
      <vt:lpstr>Dahboard pr1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Zara Cyril</cp:lastModifiedBy>
  <cp:lastPrinted>2026-04-05T17:05:20Z</cp:lastPrinted>
  <dcterms:created xsi:type="dcterms:W3CDTF">2026-03-05T01:47:57Z</dcterms:created>
  <dcterms:modified xsi:type="dcterms:W3CDTF">2026-05-20T09:40:56Z</dcterms:modified>
</cp:coreProperties>
</file>